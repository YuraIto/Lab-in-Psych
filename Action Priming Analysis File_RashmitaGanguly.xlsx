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4"/>
    <sheet state="visible" name="0001" sheetId="2" r:id="rId5"/>
    <sheet state="visible" name="0002" sheetId="3" r:id="rId6"/>
    <sheet state="visible" name="0003" sheetId="4" r:id="rId7"/>
    <sheet state="visible" name="0004" sheetId="5" r:id="rId8"/>
    <sheet state="visible" name="0005" sheetId="6" r:id="rId9"/>
    <sheet state="visible" name="0006" sheetId="7" r:id="rId10"/>
  </sheets>
  <definedNames/>
  <calcPr/>
</workbook>
</file>

<file path=xl/sharedStrings.xml><?xml version="1.0" encoding="utf-8"?>
<sst xmlns="http://schemas.openxmlformats.org/spreadsheetml/2006/main" count="718" uniqueCount="42">
  <si>
    <t>Participant No.</t>
  </si>
  <si>
    <t>Incongruent_RT</t>
  </si>
  <si>
    <t>Congruent_RT</t>
  </si>
  <si>
    <t>Congruency</t>
  </si>
  <si>
    <t>Average RT</t>
  </si>
  <si>
    <t>Congruent</t>
  </si>
  <si>
    <t>Incongruent</t>
  </si>
  <si>
    <t>Participant</t>
  </si>
  <si>
    <t>Accuracy</t>
  </si>
  <si>
    <t>Overall Avg Accuracy:</t>
  </si>
  <si>
    <t>object</t>
  </si>
  <si>
    <t>congruency</t>
  </si>
  <si>
    <t>actiontype</t>
  </si>
  <si>
    <t>action</t>
  </si>
  <si>
    <t>corr_res</t>
  </si>
  <si>
    <t>key_resp</t>
  </si>
  <si>
    <t>res_RT</t>
  </si>
  <si>
    <t>MeanRT</t>
  </si>
  <si>
    <t>keyboard</t>
  </si>
  <si>
    <t>incongruent</t>
  </si>
  <si>
    <t>hand</t>
  </si>
  <si>
    <t>writing</t>
  </si>
  <si>
    <t>frisbee disc</t>
  </si>
  <si>
    <t>crayon</t>
  </si>
  <si>
    <t>congruent</t>
  </si>
  <si>
    <t>paint brush</t>
  </si>
  <si>
    <t>slippers</t>
  </si>
  <si>
    <t>leg</t>
  </si>
  <si>
    <t>walking</t>
  </si>
  <si>
    <t>skateboard</t>
  </si>
  <si>
    <t>ice skate</t>
  </si>
  <si>
    <t>shoes</t>
  </si>
  <si>
    <t>ballet shoes</t>
  </si>
  <si>
    <t>dancing</t>
  </si>
  <si>
    <t>anklet bells/ghungroo</t>
  </si>
  <si>
    <t>skipping rope</t>
  </si>
  <si>
    <t>dart</t>
  </si>
  <si>
    <t>arm swing</t>
  </si>
  <si>
    <t>racket</t>
  </si>
  <si>
    <t>scissors</t>
  </si>
  <si>
    <t>screwdriver</t>
  </si>
  <si>
    <t>Accuracy 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</si>
</sst>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rgb="FFFF0000"/>
      <name val="&quot;Aptos Narrow&quot;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Font="1"/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4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horizontal="right" readingOrder="0" shrinkToFit="0" vertical="bottom" wrapText="0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Overall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>
                <a:solidFill>
                  <a:srgbClr val="757575"/>
                </a:solidFill>
                <a:latin typeface="+mn-lt"/>
              </a:defRPr>
            </a:pPr>
            <a:r>
              <a:rPr b="1">
                <a:solidFill>
                  <a:srgbClr val="757575"/>
                </a:solidFill>
                <a:latin typeface="+mn-lt"/>
              </a:rPr>
              <a:t>RT for Object Recognition for Each Participant Across Conditions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Overall!$B$1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Overall!$A$2:$A$7</c:f>
            </c:strRef>
          </c:cat>
          <c:val>
            <c:numRef>
              <c:f>Overall!$B$2:$B$7</c:f>
              <c:numCache/>
            </c:numRef>
          </c:val>
        </c:ser>
        <c:ser>
          <c:idx val="1"/>
          <c:order val="1"/>
          <c:tx>
            <c:strRef>
              <c:f>Overall!$C$1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Overall!$A$2:$A$7</c:f>
            </c:strRef>
          </c:cat>
          <c:val>
            <c:numRef>
              <c:f>Overall!$C$2:$C$7</c:f>
              <c:numCache/>
            </c:numRef>
          </c:val>
        </c:ser>
        <c:axId val="464009740"/>
        <c:axId val="1223307164"/>
      </c:barChart>
      <c:catAx>
        <c:axId val="4640097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Participant No.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23307164"/>
      </c:catAx>
      <c:valAx>
        <c:axId val="122330716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Reaction Time (in seconds)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4009740"/>
      </c:valAx>
    </c:plotArea>
    <c:legend>
      <c:legendPos val="r"/>
      <c:overlay val="0"/>
      <c:txPr>
        <a:bodyPr/>
        <a:lstStyle/>
        <a:p>
          <a:pPr lvl="0">
            <a:defRPr b="0" sz="1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771525</xdr:colOff>
      <xdr:row>4</xdr:row>
      <xdr:rowOff>209550</xdr:rowOff>
    </xdr:from>
    <xdr:ext cx="7724775" cy="4514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7" displayName="Table1" name="Table1" id="1">
  <tableColumns count="3">
    <tableColumn name="Participant No." id="1"/>
    <tableColumn name="Incongruent_RT" id="2"/>
    <tableColumn name="Congruent_RT" id="3"/>
  </tableColumns>
  <tableStyleInfo name="Overall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63"/>
    <col customWidth="1" min="2" max="2" width="17.13"/>
    <col customWidth="1" min="3" max="3" width="15.88"/>
  </cols>
  <sheetData>
    <row r="1" ht="22.5" customHeight="1">
      <c r="A1" s="1" t="s">
        <v>0</v>
      </c>
      <c r="B1" s="1" t="s">
        <v>1</v>
      </c>
      <c r="C1" s="1" t="s">
        <v>2</v>
      </c>
      <c r="E1" s="2" t="s">
        <v>3</v>
      </c>
      <c r="F1" s="2" t="s">
        <v>4</v>
      </c>
    </row>
    <row r="2" ht="22.5" customHeight="1">
      <c r="A2" s="3">
        <v>1.0</v>
      </c>
      <c r="B2" s="4">
        <v>1.8105468461538459</v>
      </c>
      <c r="C2" s="4">
        <v>1.5736506000000001</v>
      </c>
      <c r="E2" s="2" t="s">
        <v>5</v>
      </c>
      <c r="F2" s="5">
        <f>average(C2:C7)</f>
        <v>1.119980023</v>
      </c>
    </row>
    <row r="3" ht="22.5" customHeight="1">
      <c r="A3" s="3">
        <v>2.0</v>
      </c>
      <c r="B3" s="4">
        <v>1.4554636153846152</v>
      </c>
      <c r="C3" s="4">
        <v>1.3172459999999997</v>
      </c>
      <c r="E3" s="2" t="s">
        <v>6</v>
      </c>
      <c r="F3" s="5">
        <f>average(B2:B7)</f>
        <v>1.224409583</v>
      </c>
    </row>
    <row r="4" ht="22.5" customHeight="1">
      <c r="A4" s="3">
        <v>3.0</v>
      </c>
      <c r="B4" s="4">
        <v>1.01162175</v>
      </c>
      <c r="C4" s="4">
        <v>0.9720946428571429</v>
      </c>
    </row>
    <row r="5" ht="22.5" customHeight="1">
      <c r="A5" s="3">
        <v>4.0</v>
      </c>
      <c r="B5" s="4">
        <v>1.0585342857142859</v>
      </c>
      <c r="C5" s="3">
        <v>1.086739125</v>
      </c>
    </row>
    <row r="6" ht="22.5" customHeight="1">
      <c r="A6" s="3">
        <v>5.0</v>
      </c>
      <c r="B6" s="4">
        <v>0.8074370000000001</v>
      </c>
      <c r="C6" s="4">
        <v>0.6963386153846154</v>
      </c>
    </row>
    <row r="7" ht="22.5" customHeight="1">
      <c r="A7" s="3">
        <v>6.0</v>
      </c>
      <c r="B7" s="4">
        <v>1.2028539999999999</v>
      </c>
      <c r="C7" s="3">
        <v>1.0738111538461539</v>
      </c>
    </row>
    <row r="10">
      <c r="A10" s="2" t="s">
        <v>7</v>
      </c>
      <c r="B10" s="2" t="s">
        <v>8</v>
      </c>
    </row>
    <row r="11">
      <c r="A11" s="2">
        <v>1.0</v>
      </c>
      <c r="B11" s="2">
        <v>0.8125</v>
      </c>
    </row>
    <row r="12">
      <c r="A12" s="2">
        <v>2.0</v>
      </c>
      <c r="B12" s="5">
        <v>0.875</v>
      </c>
    </row>
    <row r="13">
      <c r="A13" s="2">
        <v>3.0</v>
      </c>
      <c r="B13" s="5">
        <v>0.875</v>
      </c>
    </row>
    <row r="14">
      <c r="A14" s="2">
        <v>4.0</v>
      </c>
      <c r="B14" s="5">
        <v>1.0</v>
      </c>
    </row>
    <row r="15">
      <c r="A15" s="2">
        <v>5.0</v>
      </c>
      <c r="B15" s="5">
        <v>0.9375</v>
      </c>
    </row>
    <row r="16">
      <c r="A16" s="2">
        <v>6.0</v>
      </c>
      <c r="B16" s="5">
        <v>1.0</v>
      </c>
    </row>
    <row r="17">
      <c r="A17" s="2" t="s">
        <v>9</v>
      </c>
      <c r="B17" s="5">
        <f>average(B11:B16)</f>
        <v>0.9166666667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7" t="s">
        <v>15</v>
      </c>
      <c r="O1" s="2" t="s">
        <v>16</v>
      </c>
      <c r="Q1" s="2" t="s">
        <v>3</v>
      </c>
      <c r="R1" s="2" t="s">
        <v>17</v>
      </c>
    </row>
    <row r="2">
      <c r="A2" s="8"/>
      <c r="B2" s="8"/>
      <c r="C2" s="8"/>
      <c r="D2" s="8"/>
      <c r="E2" s="8"/>
      <c r="F2" s="8"/>
      <c r="I2" s="6"/>
      <c r="J2" s="6"/>
      <c r="K2" s="6"/>
      <c r="L2" s="6"/>
      <c r="M2" s="9"/>
      <c r="N2" s="9"/>
      <c r="O2" s="9"/>
      <c r="Q2" s="2" t="s">
        <v>6</v>
      </c>
      <c r="R2" s="5">
        <v>1.8105468461538459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9">
        <v>0.0</v>
      </c>
      <c r="F3" s="9">
        <v>0.0</v>
      </c>
      <c r="G3" s="9">
        <v>2.957502</v>
      </c>
      <c r="I3" s="6" t="s">
        <v>18</v>
      </c>
      <c r="J3" s="6" t="s">
        <v>19</v>
      </c>
      <c r="K3" s="6" t="s">
        <v>20</v>
      </c>
      <c r="L3" s="6" t="s">
        <v>21</v>
      </c>
      <c r="M3" s="9">
        <v>0.0</v>
      </c>
      <c r="N3" s="9">
        <v>0.0</v>
      </c>
      <c r="O3" s="9">
        <v>2.957502</v>
      </c>
      <c r="Q3" s="2" t="s">
        <v>5</v>
      </c>
      <c r="R3" s="5">
        <v>1.5736506000000001</v>
      </c>
    </row>
    <row r="4">
      <c r="A4" s="6" t="s">
        <v>22</v>
      </c>
      <c r="B4" s="6" t="s">
        <v>19</v>
      </c>
      <c r="C4" s="6" t="s">
        <v>20</v>
      </c>
      <c r="D4" s="6" t="s">
        <v>21</v>
      </c>
      <c r="E4" s="9">
        <v>1.0</v>
      </c>
      <c r="F4" s="9">
        <v>1.0</v>
      </c>
      <c r="G4" s="9">
        <v>3.605863</v>
      </c>
      <c r="I4" s="6" t="s">
        <v>22</v>
      </c>
      <c r="J4" s="6" t="s">
        <v>19</v>
      </c>
      <c r="K4" s="6" t="s">
        <v>20</v>
      </c>
      <c r="L4" s="6" t="s">
        <v>21</v>
      </c>
      <c r="M4" s="9">
        <v>1.0</v>
      </c>
      <c r="N4" s="9">
        <v>1.0</v>
      </c>
      <c r="O4" s="9">
        <v>3.605863</v>
      </c>
    </row>
    <row r="5">
      <c r="A5" s="10" t="s">
        <v>23</v>
      </c>
      <c r="B5" s="10" t="s">
        <v>24</v>
      </c>
      <c r="C5" s="10" t="s">
        <v>20</v>
      </c>
      <c r="D5" s="10" t="s">
        <v>21</v>
      </c>
      <c r="E5" s="11">
        <v>0.0</v>
      </c>
      <c r="F5" s="11">
        <v>1.0</v>
      </c>
      <c r="G5" s="11">
        <v>1.450395</v>
      </c>
      <c r="I5" s="6" t="s">
        <v>25</v>
      </c>
      <c r="J5" s="6" t="s">
        <v>24</v>
      </c>
      <c r="K5" s="6" t="s">
        <v>20</v>
      </c>
      <c r="L5" s="6" t="s">
        <v>21</v>
      </c>
      <c r="M5" s="9">
        <v>1.0</v>
      </c>
      <c r="N5" s="9">
        <v>1.0</v>
      </c>
      <c r="O5" s="9">
        <v>1.11641</v>
      </c>
    </row>
    <row r="6">
      <c r="A6" s="6" t="s">
        <v>25</v>
      </c>
      <c r="B6" s="6" t="s">
        <v>24</v>
      </c>
      <c r="C6" s="6" t="s">
        <v>20</v>
      </c>
      <c r="D6" s="6" t="s">
        <v>21</v>
      </c>
      <c r="E6" s="9">
        <v>1.0</v>
      </c>
      <c r="F6" s="9">
        <v>1.0</v>
      </c>
      <c r="G6" s="9">
        <v>1.11641</v>
      </c>
      <c r="I6" s="6" t="s">
        <v>26</v>
      </c>
      <c r="J6" s="6" t="s">
        <v>24</v>
      </c>
      <c r="K6" s="6" t="s">
        <v>27</v>
      </c>
      <c r="L6" s="6" t="s">
        <v>28</v>
      </c>
      <c r="M6" s="9">
        <v>0.0</v>
      </c>
      <c r="N6" s="9">
        <v>0.0</v>
      </c>
      <c r="O6" s="9">
        <v>2.11985</v>
      </c>
    </row>
    <row r="7">
      <c r="A7" s="6" t="s">
        <v>26</v>
      </c>
      <c r="B7" s="6" t="s">
        <v>24</v>
      </c>
      <c r="C7" s="6" t="s">
        <v>27</v>
      </c>
      <c r="D7" s="6" t="s">
        <v>28</v>
      </c>
      <c r="E7" s="9">
        <v>0.0</v>
      </c>
      <c r="F7" s="9">
        <v>0.0</v>
      </c>
      <c r="G7" s="9">
        <v>2.11985</v>
      </c>
      <c r="I7" s="6" t="s">
        <v>29</v>
      </c>
      <c r="J7" s="6" t="s">
        <v>19</v>
      </c>
      <c r="K7" s="6" t="s">
        <v>27</v>
      </c>
      <c r="L7" s="6" t="s">
        <v>28</v>
      </c>
      <c r="M7" s="9">
        <v>0.0</v>
      </c>
      <c r="N7" s="9">
        <v>0.0</v>
      </c>
      <c r="O7" s="9">
        <v>1.9119</v>
      </c>
    </row>
    <row r="8">
      <c r="A8" s="6" t="s">
        <v>29</v>
      </c>
      <c r="B8" s="6" t="s">
        <v>19</v>
      </c>
      <c r="C8" s="6" t="s">
        <v>27</v>
      </c>
      <c r="D8" s="6" t="s">
        <v>28</v>
      </c>
      <c r="E8" s="9">
        <v>0.0</v>
      </c>
      <c r="F8" s="9">
        <v>0.0</v>
      </c>
      <c r="G8" s="9">
        <v>1.9119</v>
      </c>
      <c r="I8" s="6" t="s">
        <v>30</v>
      </c>
      <c r="J8" s="6" t="s">
        <v>19</v>
      </c>
      <c r="K8" s="6" t="s">
        <v>27</v>
      </c>
      <c r="L8" s="6" t="s">
        <v>28</v>
      </c>
      <c r="M8" s="9">
        <v>1.0</v>
      </c>
      <c r="N8" s="9">
        <v>1.0</v>
      </c>
      <c r="O8" s="9">
        <v>1.749679</v>
      </c>
    </row>
    <row r="9">
      <c r="A9" s="6" t="s">
        <v>30</v>
      </c>
      <c r="B9" s="6" t="s">
        <v>19</v>
      </c>
      <c r="C9" s="6" t="s">
        <v>27</v>
      </c>
      <c r="D9" s="6" t="s">
        <v>28</v>
      </c>
      <c r="E9" s="9">
        <v>1.0</v>
      </c>
      <c r="F9" s="9">
        <v>1.0</v>
      </c>
      <c r="G9" s="9">
        <v>1.749679</v>
      </c>
      <c r="I9" s="6" t="s">
        <v>31</v>
      </c>
      <c r="J9" s="6" t="s">
        <v>24</v>
      </c>
      <c r="K9" s="6" t="s">
        <v>27</v>
      </c>
      <c r="L9" s="6" t="s">
        <v>28</v>
      </c>
      <c r="M9" s="9">
        <v>0.0</v>
      </c>
      <c r="N9" s="9">
        <v>0.0</v>
      </c>
      <c r="O9" s="9">
        <v>1.540622</v>
      </c>
    </row>
    <row r="10">
      <c r="A10" s="6" t="s">
        <v>31</v>
      </c>
      <c r="B10" s="6" t="s">
        <v>24</v>
      </c>
      <c r="C10" s="6" t="s">
        <v>27</v>
      </c>
      <c r="D10" s="6" t="s">
        <v>28</v>
      </c>
      <c r="E10" s="9">
        <v>0.0</v>
      </c>
      <c r="F10" s="9">
        <v>0.0</v>
      </c>
      <c r="G10" s="9">
        <v>1.540622</v>
      </c>
      <c r="I10" s="6" t="s">
        <v>32</v>
      </c>
      <c r="J10" s="6" t="s">
        <v>24</v>
      </c>
      <c r="K10" s="6" t="s">
        <v>27</v>
      </c>
      <c r="L10" s="6" t="s">
        <v>33</v>
      </c>
      <c r="M10" s="9">
        <v>0.0</v>
      </c>
      <c r="N10" s="9">
        <v>0.0</v>
      </c>
      <c r="O10" s="9">
        <v>1.871387</v>
      </c>
    </row>
    <row r="11">
      <c r="A11" s="6" t="s">
        <v>32</v>
      </c>
      <c r="B11" s="6" t="s">
        <v>24</v>
      </c>
      <c r="C11" s="6" t="s">
        <v>27</v>
      </c>
      <c r="D11" s="6" t="s">
        <v>33</v>
      </c>
      <c r="E11" s="9">
        <v>0.0</v>
      </c>
      <c r="F11" s="9">
        <v>0.0</v>
      </c>
      <c r="G11" s="9">
        <v>1.871387</v>
      </c>
      <c r="I11" s="6" t="s">
        <v>34</v>
      </c>
      <c r="J11" s="6" t="s">
        <v>24</v>
      </c>
      <c r="K11" s="6" t="s">
        <v>27</v>
      </c>
      <c r="L11" s="6" t="s">
        <v>33</v>
      </c>
      <c r="M11" s="9">
        <v>1.0</v>
      </c>
      <c r="N11" s="9">
        <v>1.0</v>
      </c>
      <c r="O11" s="9">
        <v>0.895756</v>
      </c>
    </row>
    <row r="12">
      <c r="A12" s="10" t="s">
        <v>35</v>
      </c>
      <c r="B12" s="10" t="s">
        <v>19</v>
      </c>
      <c r="C12" s="10" t="s">
        <v>27</v>
      </c>
      <c r="D12" s="10" t="s">
        <v>33</v>
      </c>
      <c r="E12" s="11">
        <v>1.0</v>
      </c>
      <c r="F12" s="11">
        <v>0.0</v>
      </c>
      <c r="G12" s="11">
        <v>4.00324</v>
      </c>
      <c r="I12" s="6" t="s">
        <v>29</v>
      </c>
      <c r="J12" s="6" t="s">
        <v>19</v>
      </c>
      <c r="K12" s="6" t="s">
        <v>27</v>
      </c>
      <c r="L12" s="6" t="s">
        <v>33</v>
      </c>
      <c r="M12" s="9">
        <v>0.0</v>
      </c>
      <c r="N12" s="9">
        <v>0.0</v>
      </c>
      <c r="O12" s="9">
        <v>1.444821</v>
      </c>
    </row>
    <row r="13">
      <c r="A13" s="6" t="s">
        <v>34</v>
      </c>
      <c r="B13" s="6" t="s">
        <v>24</v>
      </c>
      <c r="C13" s="6" t="s">
        <v>27</v>
      </c>
      <c r="D13" s="6" t="s">
        <v>33</v>
      </c>
      <c r="E13" s="9">
        <v>1.0</v>
      </c>
      <c r="F13" s="9">
        <v>1.0</v>
      </c>
      <c r="G13" s="9">
        <v>0.895756</v>
      </c>
      <c r="I13" s="6" t="s">
        <v>36</v>
      </c>
      <c r="J13" s="6" t="s">
        <v>24</v>
      </c>
      <c r="K13" s="6" t="s">
        <v>20</v>
      </c>
      <c r="L13" s="6" t="s">
        <v>37</v>
      </c>
      <c r="M13" s="9">
        <v>1.0</v>
      </c>
      <c r="N13" s="9">
        <v>1.0</v>
      </c>
      <c r="O13" s="9">
        <v>1.312513</v>
      </c>
    </row>
    <row r="14">
      <c r="A14" s="6" t="s">
        <v>29</v>
      </c>
      <c r="B14" s="6" t="s">
        <v>19</v>
      </c>
      <c r="C14" s="6" t="s">
        <v>27</v>
      </c>
      <c r="D14" s="6" t="s">
        <v>33</v>
      </c>
      <c r="E14" s="9">
        <v>0.0</v>
      </c>
      <c r="F14" s="9">
        <v>0.0</v>
      </c>
      <c r="G14" s="9">
        <v>1.444821</v>
      </c>
      <c r="I14" s="6" t="s">
        <v>38</v>
      </c>
      <c r="J14" s="6" t="s">
        <v>24</v>
      </c>
      <c r="K14" s="6" t="s">
        <v>20</v>
      </c>
      <c r="L14" s="6" t="s">
        <v>37</v>
      </c>
      <c r="M14" s="9">
        <v>0.0</v>
      </c>
      <c r="N14" s="9">
        <v>0.0</v>
      </c>
      <c r="O14" s="9">
        <v>1.773568</v>
      </c>
    </row>
    <row r="15">
      <c r="A15" s="10" t="s">
        <v>39</v>
      </c>
      <c r="B15" s="10" t="s">
        <v>19</v>
      </c>
      <c r="C15" s="10" t="s">
        <v>20</v>
      </c>
      <c r="D15" s="10" t="s">
        <v>37</v>
      </c>
      <c r="E15" s="11">
        <v>1.0</v>
      </c>
      <c r="F15" s="11">
        <v>0.0</v>
      </c>
      <c r="G15" s="11">
        <v>1.819307</v>
      </c>
      <c r="I15" s="6" t="s">
        <v>40</v>
      </c>
      <c r="J15" s="6" t="s">
        <v>19</v>
      </c>
      <c r="K15" s="6" t="s">
        <v>20</v>
      </c>
      <c r="L15" s="6" t="s">
        <v>37</v>
      </c>
      <c r="M15" s="9">
        <v>0.0</v>
      </c>
      <c r="N15" s="9">
        <v>0.0</v>
      </c>
      <c r="O15" s="9">
        <v>1.237238</v>
      </c>
    </row>
    <row r="16">
      <c r="A16" s="6" t="s">
        <v>36</v>
      </c>
      <c r="B16" s="6" t="s">
        <v>24</v>
      </c>
      <c r="C16" s="6" t="s">
        <v>20</v>
      </c>
      <c r="D16" s="6" t="s">
        <v>37</v>
      </c>
      <c r="E16" s="9">
        <v>1.0</v>
      </c>
      <c r="F16" s="9">
        <v>1.0</v>
      </c>
      <c r="G16" s="9">
        <v>1.312513</v>
      </c>
    </row>
    <row r="17">
      <c r="A17" s="6" t="s">
        <v>38</v>
      </c>
      <c r="B17" s="6" t="s">
        <v>24</v>
      </c>
      <c r="C17" s="6" t="s">
        <v>20</v>
      </c>
      <c r="D17" s="6" t="s">
        <v>37</v>
      </c>
      <c r="E17" s="9">
        <v>0.0</v>
      </c>
      <c r="F17" s="9">
        <v>0.0</v>
      </c>
      <c r="G17" s="9">
        <v>1.773568</v>
      </c>
      <c r="I17" s="2" t="s">
        <v>41</v>
      </c>
      <c r="J17" s="2">
        <f>13/16</f>
        <v>0.8125</v>
      </c>
    </row>
    <row r="18">
      <c r="A18" s="6" t="s">
        <v>40</v>
      </c>
      <c r="B18" s="6" t="s">
        <v>19</v>
      </c>
      <c r="C18" s="6" t="s">
        <v>20</v>
      </c>
      <c r="D18" s="6" t="s">
        <v>37</v>
      </c>
      <c r="E18" s="9">
        <v>0.0</v>
      </c>
      <c r="F18" s="9">
        <v>0.0</v>
      </c>
      <c r="G18" s="9">
        <v>1.237238</v>
      </c>
    </row>
    <row r="19">
      <c r="A19" s="8"/>
      <c r="B19" s="8"/>
      <c r="C19" s="8"/>
      <c r="D19" s="8"/>
      <c r="E19" s="8"/>
      <c r="F19" s="8"/>
    </row>
    <row r="20">
      <c r="A20" s="6"/>
      <c r="B20" s="6"/>
      <c r="C20" s="6"/>
      <c r="D20" s="6"/>
      <c r="E20" s="6"/>
      <c r="F20" s="7"/>
    </row>
    <row r="21">
      <c r="A21" s="6"/>
      <c r="B21" s="6"/>
      <c r="C21" s="6"/>
      <c r="D21" s="6"/>
      <c r="E21" s="9"/>
      <c r="F21" s="9"/>
      <c r="G21" s="9"/>
    </row>
    <row r="22">
      <c r="A22" s="6"/>
      <c r="B22" s="6"/>
      <c r="C22" s="6"/>
      <c r="D22" s="6"/>
      <c r="E22" s="9"/>
      <c r="F22" s="9"/>
      <c r="G22" s="9"/>
    </row>
    <row r="23">
      <c r="A23" s="6"/>
      <c r="B23" s="6"/>
      <c r="C23" s="6"/>
      <c r="D23" s="6"/>
      <c r="E23" s="9"/>
      <c r="F23" s="9"/>
      <c r="G23" s="9"/>
    </row>
    <row r="24">
      <c r="A24" s="6"/>
      <c r="B24" s="6"/>
      <c r="C24" s="6"/>
      <c r="D24" s="6"/>
      <c r="E24" s="9"/>
      <c r="F24" s="9"/>
      <c r="G24" s="9"/>
    </row>
    <row r="25">
      <c r="A25" s="6"/>
      <c r="B25" s="6"/>
      <c r="C25" s="6"/>
      <c r="D25" s="6"/>
      <c r="E25" s="9"/>
      <c r="F25" s="9"/>
      <c r="G25" s="9"/>
    </row>
    <row r="26">
      <c r="A26" s="6"/>
      <c r="B26" s="6"/>
      <c r="C26" s="6"/>
      <c r="D26" s="6"/>
      <c r="E26" s="9"/>
      <c r="F26" s="9"/>
      <c r="G26" s="9"/>
    </row>
    <row r="27">
      <c r="A27" s="6"/>
      <c r="B27" s="6"/>
      <c r="C27" s="6"/>
      <c r="D27" s="6"/>
      <c r="E27" s="9"/>
      <c r="F27" s="9"/>
      <c r="G27" s="9"/>
    </row>
    <row r="28">
      <c r="A28" s="6"/>
      <c r="B28" s="6"/>
      <c r="C28" s="6"/>
      <c r="D28" s="6"/>
      <c r="E28" s="9"/>
      <c r="F28" s="9"/>
      <c r="G28" s="9"/>
    </row>
    <row r="29">
      <c r="A29" s="6"/>
      <c r="B29" s="6"/>
      <c r="C29" s="6"/>
      <c r="D29" s="6"/>
      <c r="E29" s="9"/>
      <c r="F29" s="9"/>
      <c r="G29" s="9"/>
    </row>
    <row r="30">
      <c r="A30" s="6"/>
      <c r="B30" s="6"/>
      <c r="C30" s="6"/>
      <c r="D30" s="6"/>
      <c r="E30" s="9"/>
      <c r="F30" s="9"/>
      <c r="G30" s="9"/>
    </row>
    <row r="31">
      <c r="A31" s="6"/>
      <c r="B31" s="6"/>
      <c r="C31" s="6"/>
      <c r="D31" s="6"/>
      <c r="E31" s="9"/>
      <c r="F31" s="9"/>
      <c r="G31" s="9"/>
    </row>
    <row r="32">
      <c r="A32" s="6"/>
      <c r="B32" s="6"/>
      <c r="C32" s="6"/>
      <c r="D32" s="6"/>
      <c r="E32" s="9"/>
      <c r="F32" s="9"/>
      <c r="G32" s="9"/>
    </row>
    <row r="33">
      <c r="A33" s="6"/>
      <c r="B33" s="6"/>
      <c r="C33" s="6"/>
      <c r="D33" s="6"/>
      <c r="E33" s="9"/>
      <c r="F33" s="9"/>
      <c r="G33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7" t="s">
        <v>15</v>
      </c>
      <c r="O1" s="2" t="s">
        <v>16</v>
      </c>
      <c r="Q1" s="2" t="s">
        <v>3</v>
      </c>
      <c r="R1" s="2" t="s">
        <v>17</v>
      </c>
    </row>
    <row r="2">
      <c r="A2" s="8"/>
      <c r="B2" s="8"/>
      <c r="C2" s="8"/>
      <c r="D2" s="8"/>
      <c r="Q2" s="2" t="s">
        <v>6</v>
      </c>
      <c r="R2" s="5">
        <v>1.4554636153846152</v>
      </c>
    </row>
    <row r="3">
      <c r="A3" s="6" t="s">
        <v>18</v>
      </c>
      <c r="B3" s="6" t="s">
        <v>19</v>
      </c>
      <c r="C3" s="6" t="s">
        <v>20</v>
      </c>
      <c r="D3" s="6" t="s">
        <v>21</v>
      </c>
      <c r="E3" s="9">
        <v>0.0</v>
      </c>
      <c r="F3" s="9">
        <v>0.0</v>
      </c>
      <c r="G3" s="9">
        <v>2.687885</v>
      </c>
      <c r="I3" s="6" t="s">
        <v>18</v>
      </c>
      <c r="J3" s="6" t="s">
        <v>19</v>
      </c>
      <c r="K3" s="6" t="s">
        <v>20</v>
      </c>
      <c r="L3" s="6" t="s">
        <v>21</v>
      </c>
      <c r="M3" s="9">
        <v>0.0</v>
      </c>
      <c r="N3" s="9">
        <v>0.0</v>
      </c>
      <c r="O3" s="9">
        <v>2.687885</v>
      </c>
      <c r="Q3" s="2" t="s">
        <v>5</v>
      </c>
      <c r="R3" s="5">
        <v>1.3172459999999997</v>
      </c>
    </row>
    <row r="4">
      <c r="A4" s="10" t="s">
        <v>23</v>
      </c>
      <c r="B4" s="10" t="s">
        <v>24</v>
      </c>
      <c r="C4" s="10" t="s">
        <v>20</v>
      </c>
      <c r="D4" s="10" t="s">
        <v>21</v>
      </c>
      <c r="E4" s="11">
        <v>0.0</v>
      </c>
      <c r="F4" s="11">
        <v>1.0</v>
      </c>
      <c r="G4" s="11">
        <v>1.015453</v>
      </c>
      <c r="I4" s="6" t="s">
        <v>22</v>
      </c>
      <c r="J4" s="6" t="s">
        <v>19</v>
      </c>
      <c r="K4" s="6" t="s">
        <v>20</v>
      </c>
      <c r="L4" s="6" t="s">
        <v>21</v>
      </c>
      <c r="M4" s="9">
        <v>1.0</v>
      </c>
      <c r="N4" s="9">
        <v>1.0</v>
      </c>
      <c r="O4" s="9">
        <v>1.275788</v>
      </c>
    </row>
    <row r="5">
      <c r="A5" s="6" t="s">
        <v>22</v>
      </c>
      <c r="B5" s="6" t="s">
        <v>19</v>
      </c>
      <c r="C5" s="6" t="s">
        <v>20</v>
      </c>
      <c r="D5" s="6" t="s">
        <v>21</v>
      </c>
      <c r="E5" s="9">
        <v>1.0</v>
      </c>
      <c r="F5" s="9">
        <v>1.0</v>
      </c>
      <c r="G5" s="9">
        <v>1.275788</v>
      </c>
      <c r="I5" s="6" t="s">
        <v>25</v>
      </c>
      <c r="J5" s="6" t="s">
        <v>24</v>
      </c>
      <c r="K5" s="6" t="s">
        <v>20</v>
      </c>
      <c r="L5" s="6" t="s">
        <v>21</v>
      </c>
      <c r="M5" s="9">
        <v>1.0</v>
      </c>
      <c r="N5" s="9">
        <v>1.0</v>
      </c>
      <c r="O5" s="9">
        <v>0.536612</v>
      </c>
    </row>
    <row r="6">
      <c r="A6" s="6" t="s">
        <v>25</v>
      </c>
      <c r="B6" s="6" t="s">
        <v>24</v>
      </c>
      <c r="C6" s="6" t="s">
        <v>20</v>
      </c>
      <c r="D6" s="6" t="s">
        <v>21</v>
      </c>
      <c r="E6" s="9">
        <v>1.0</v>
      </c>
      <c r="F6" s="9">
        <v>1.0</v>
      </c>
      <c r="G6" s="9">
        <v>0.536612</v>
      </c>
      <c r="I6" s="6" t="s">
        <v>30</v>
      </c>
      <c r="J6" s="6" t="s">
        <v>19</v>
      </c>
      <c r="K6" s="6" t="s">
        <v>27</v>
      </c>
      <c r="L6" s="6" t="s">
        <v>28</v>
      </c>
      <c r="M6" s="9">
        <v>1.0</v>
      </c>
      <c r="N6" s="9">
        <v>1.0</v>
      </c>
      <c r="O6" s="9">
        <v>1.316304</v>
      </c>
    </row>
    <row r="7">
      <c r="A7" s="6" t="s">
        <v>30</v>
      </c>
      <c r="B7" s="6" t="s">
        <v>19</v>
      </c>
      <c r="C7" s="6" t="s">
        <v>27</v>
      </c>
      <c r="D7" s="6" t="s">
        <v>28</v>
      </c>
      <c r="E7" s="9">
        <v>1.0</v>
      </c>
      <c r="F7" s="9">
        <v>1.0</v>
      </c>
      <c r="G7" s="9">
        <v>1.316304</v>
      </c>
      <c r="I7" s="6" t="s">
        <v>29</v>
      </c>
      <c r="J7" s="6" t="s">
        <v>19</v>
      </c>
      <c r="K7" s="6" t="s">
        <v>27</v>
      </c>
      <c r="L7" s="6" t="s">
        <v>28</v>
      </c>
      <c r="M7" s="9">
        <v>0.0</v>
      </c>
      <c r="N7" s="9">
        <v>0.0</v>
      </c>
      <c r="O7" s="9">
        <v>1.452255</v>
      </c>
    </row>
    <row r="8">
      <c r="A8" s="6" t="s">
        <v>29</v>
      </c>
      <c r="B8" s="6" t="s">
        <v>19</v>
      </c>
      <c r="C8" s="6" t="s">
        <v>27</v>
      </c>
      <c r="D8" s="6" t="s">
        <v>28</v>
      </c>
      <c r="E8" s="9">
        <v>0.0</v>
      </c>
      <c r="F8" s="9">
        <v>0.0</v>
      </c>
      <c r="G8" s="9">
        <v>1.452255</v>
      </c>
      <c r="I8" s="6" t="s">
        <v>26</v>
      </c>
      <c r="J8" s="6" t="s">
        <v>24</v>
      </c>
      <c r="K8" s="6" t="s">
        <v>27</v>
      </c>
      <c r="L8" s="6" t="s">
        <v>28</v>
      </c>
      <c r="M8" s="9">
        <v>0.0</v>
      </c>
      <c r="N8" s="9">
        <v>0.0</v>
      </c>
      <c r="O8" s="9">
        <v>1.354704</v>
      </c>
    </row>
    <row r="9">
      <c r="A9" s="6" t="s">
        <v>26</v>
      </c>
      <c r="B9" s="6" t="s">
        <v>24</v>
      </c>
      <c r="C9" s="6" t="s">
        <v>27</v>
      </c>
      <c r="D9" s="6" t="s">
        <v>28</v>
      </c>
      <c r="E9" s="9">
        <v>0.0</v>
      </c>
      <c r="F9" s="9">
        <v>0.0</v>
      </c>
      <c r="G9" s="9">
        <v>1.354704</v>
      </c>
      <c r="I9" s="6" t="s">
        <v>31</v>
      </c>
      <c r="J9" s="6" t="s">
        <v>24</v>
      </c>
      <c r="K9" s="6" t="s">
        <v>27</v>
      </c>
      <c r="L9" s="6" t="s">
        <v>28</v>
      </c>
      <c r="M9" s="9">
        <v>0.0</v>
      </c>
      <c r="N9" s="9">
        <v>0.0</v>
      </c>
      <c r="O9" s="9">
        <v>1.003335</v>
      </c>
    </row>
    <row r="10">
      <c r="A10" s="6" t="s">
        <v>31</v>
      </c>
      <c r="B10" s="6" t="s">
        <v>24</v>
      </c>
      <c r="C10" s="6" t="s">
        <v>27</v>
      </c>
      <c r="D10" s="6" t="s">
        <v>28</v>
      </c>
      <c r="E10" s="9">
        <v>0.0</v>
      </c>
      <c r="F10" s="9">
        <v>0.0</v>
      </c>
      <c r="G10" s="9">
        <v>1.003335</v>
      </c>
      <c r="I10" s="6" t="s">
        <v>35</v>
      </c>
      <c r="J10" s="6" t="s">
        <v>19</v>
      </c>
      <c r="K10" s="6" t="s">
        <v>27</v>
      </c>
      <c r="L10" s="6" t="s">
        <v>33</v>
      </c>
      <c r="M10" s="9">
        <v>1.0</v>
      </c>
      <c r="N10" s="9">
        <v>1.0</v>
      </c>
      <c r="O10" s="9">
        <v>2.565313</v>
      </c>
    </row>
    <row r="11">
      <c r="A11" s="6" t="s">
        <v>35</v>
      </c>
      <c r="B11" s="6" t="s">
        <v>19</v>
      </c>
      <c r="C11" s="6" t="s">
        <v>27</v>
      </c>
      <c r="D11" s="6" t="s">
        <v>33</v>
      </c>
      <c r="E11" s="9">
        <v>1.0</v>
      </c>
      <c r="F11" s="9">
        <v>1.0</v>
      </c>
      <c r="G11" s="9">
        <v>2.565313</v>
      </c>
      <c r="I11" s="6" t="s">
        <v>34</v>
      </c>
      <c r="J11" s="6" t="s">
        <v>24</v>
      </c>
      <c r="K11" s="6" t="s">
        <v>27</v>
      </c>
      <c r="L11" s="6" t="s">
        <v>33</v>
      </c>
      <c r="M11" s="9">
        <v>1.0</v>
      </c>
      <c r="N11" s="9">
        <v>1.0</v>
      </c>
      <c r="O11" s="9">
        <v>1.053071</v>
      </c>
    </row>
    <row r="12">
      <c r="A12" s="6" t="s">
        <v>34</v>
      </c>
      <c r="B12" s="6" t="s">
        <v>24</v>
      </c>
      <c r="C12" s="6" t="s">
        <v>27</v>
      </c>
      <c r="D12" s="6" t="s">
        <v>33</v>
      </c>
      <c r="E12" s="9">
        <v>1.0</v>
      </c>
      <c r="F12" s="9">
        <v>1.0</v>
      </c>
      <c r="G12" s="9">
        <v>1.053071</v>
      </c>
      <c r="I12" s="6" t="s">
        <v>32</v>
      </c>
      <c r="J12" s="6" t="s">
        <v>24</v>
      </c>
      <c r="K12" s="6" t="s">
        <v>27</v>
      </c>
      <c r="L12" s="6" t="s">
        <v>33</v>
      </c>
      <c r="M12" s="9">
        <v>0.0</v>
      </c>
      <c r="N12" s="9">
        <v>0.0</v>
      </c>
      <c r="O12" s="9">
        <v>1.705042</v>
      </c>
    </row>
    <row r="13">
      <c r="A13" s="6" t="s">
        <v>32</v>
      </c>
      <c r="B13" s="6" t="s">
        <v>24</v>
      </c>
      <c r="C13" s="6" t="s">
        <v>27</v>
      </c>
      <c r="D13" s="6" t="s">
        <v>33</v>
      </c>
      <c r="E13" s="9">
        <v>0.0</v>
      </c>
      <c r="F13" s="9">
        <v>0.0</v>
      </c>
      <c r="G13" s="9">
        <v>1.705042</v>
      </c>
      <c r="I13" s="6" t="s">
        <v>29</v>
      </c>
      <c r="J13" s="6" t="s">
        <v>19</v>
      </c>
      <c r="K13" s="6" t="s">
        <v>27</v>
      </c>
      <c r="L13" s="6" t="s">
        <v>33</v>
      </c>
      <c r="M13" s="9">
        <v>0.0</v>
      </c>
      <c r="N13" s="9">
        <v>0.0</v>
      </c>
      <c r="O13" s="9">
        <v>2.65107</v>
      </c>
    </row>
    <row r="14">
      <c r="A14" s="6" t="s">
        <v>29</v>
      </c>
      <c r="B14" s="6" t="s">
        <v>19</v>
      </c>
      <c r="C14" s="6" t="s">
        <v>27</v>
      </c>
      <c r="D14" s="6" t="s">
        <v>33</v>
      </c>
      <c r="E14" s="9">
        <v>0.0</v>
      </c>
      <c r="F14" s="9">
        <v>0.0</v>
      </c>
      <c r="G14" s="9">
        <v>2.65107</v>
      </c>
      <c r="I14" s="6" t="s">
        <v>40</v>
      </c>
      <c r="J14" s="6" t="s">
        <v>19</v>
      </c>
      <c r="K14" s="6" t="s">
        <v>20</v>
      </c>
      <c r="L14" s="6" t="s">
        <v>37</v>
      </c>
      <c r="M14" s="9">
        <v>0.0</v>
      </c>
      <c r="N14" s="9">
        <v>0.0</v>
      </c>
      <c r="O14" s="9">
        <v>0.769483</v>
      </c>
    </row>
    <row r="15">
      <c r="A15" s="6" t="s">
        <v>40</v>
      </c>
      <c r="B15" s="6" t="s">
        <v>19</v>
      </c>
      <c r="C15" s="6" t="s">
        <v>20</v>
      </c>
      <c r="D15" s="6" t="s">
        <v>37</v>
      </c>
      <c r="E15" s="9">
        <v>0.0</v>
      </c>
      <c r="F15" s="9">
        <v>0.0</v>
      </c>
      <c r="G15" s="9">
        <v>0.769483</v>
      </c>
      <c r="I15" s="6" t="s">
        <v>39</v>
      </c>
      <c r="J15" s="6" t="s">
        <v>19</v>
      </c>
      <c r="K15" s="6" t="s">
        <v>20</v>
      </c>
      <c r="L15" s="6" t="s">
        <v>37</v>
      </c>
      <c r="M15" s="9">
        <v>1.0</v>
      </c>
      <c r="N15" s="9">
        <v>1.0</v>
      </c>
      <c r="O15" s="9">
        <v>0.550165</v>
      </c>
    </row>
    <row r="16">
      <c r="A16" s="6" t="s">
        <v>39</v>
      </c>
      <c r="B16" s="6" t="s">
        <v>19</v>
      </c>
      <c r="C16" s="6" t="s">
        <v>20</v>
      </c>
      <c r="D16" s="6" t="s">
        <v>37</v>
      </c>
      <c r="E16" s="9">
        <v>1.0</v>
      </c>
      <c r="F16" s="9">
        <v>1.0</v>
      </c>
      <c r="G16" s="9">
        <v>0.550165</v>
      </c>
      <c r="I16" s="6" t="s">
        <v>38</v>
      </c>
      <c r="J16" s="6" t="s">
        <v>24</v>
      </c>
      <c r="K16" s="6" t="s">
        <v>20</v>
      </c>
      <c r="L16" s="6" t="s">
        <v>37</v>
      </c>
      <c r="M16" s="9">
        <v>0.0</v>
      </c>
      <c r="N16" s="9">
        <v>0.0</v>
      </c>
      <c r="O16" s="9">
        <v>0.849598</v>
      </c>
    </row>
    <row r="17">
      <c r="A17" s="6" t="s">
        <v>38</v>
      </c>
      <c r="B17" s="6" t="s">
        <v>24</v>
      </c>
      <c r="C17" s="6" t="s">
        <v>20</v>
      </c>
      <c r="D17" s="6" t="s">
        <v>37</v>
      </c>
      <c r="E17" s="9">
        <v>0.0</v>
      </c>
      <c r="F17" s="9">
        <v>0.0</v>
      </c>
      <c r="G17" s="9">
        <v>0.849598</v>
      </c>
    </row>
    <row r="18">
      <c r="A18" s="10" t="s">
        <v>36</v>
      </c>
      <c r="B18" s="10" t="s">
        <v>24</v>
      </c>
      <c r="C18" s="10" t="s">
        <v>20</v>
      </c>
      <c r="D18" s="10" t="s">
        <v>37</v>
      </c>
      <c r="E18" s="11">
        <v>1.0</v>
      </c>
      <c r="F18" s="11">
        <v>0.0</v>
      </c>
      <c r="G18" s="11">
        <v>1.737124</v>
      </c>
      <c r="I18" s="2" t="s">
        <v>41</v>
      </c>
      <c r="J18" s="5">
        <f>14/16</f>
        <v>0.875</v>
      </c>
    </row>
    <row r="19">
      <c r="A19" s="8"/>
      <c r="B19" s="8"/>
      <c r="C19" s="8"/>
      <c r="D19" s="8"/>
    </row>
    <row r="20">
      <c r="A20" s="8"/>
      <c r="B20" s="8"/>
      <c r="C20" s="8"/>
      <c r="D20" s="8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7" t="s">
        <v>15</v>
      </c>
      <c r="O1" s="2" t="s">
        <v>16</v>
      </c>
      <c r="Q1" s="2" t="s">
        <v>3</v>
      </c>
      <c r="R1" s="2" t="s">
        <v>17</v>
      </c>
    </row>
    <row r="2">
      <c r="A2" s="8"/>
      <c r="B2" s="8"/>
      <c r="C2" s="8"/>
      <c r="D2" s="8"/>
      <c r="Q2" s="2" t="s">
        <v>6</v>
      </c>
      <c r="R2" s="5">
        <f>average(O4:O15)</f>
        <v>1.01162175</v>
      </c>
    </row>
    <row r="3">
      <c r="A3" s="6" t="s">
        <v>25</v>
      </c>
      <c r="B3" s="6" t="s">
        <v>24</v>
      </c>
      <c r="C3" s="6" t="s">
        <v>20</v>
      </c>
      <c r="D3" s="6" t="s">
        <v>21</v>
      </c>
      <c r="E3" s="9">
        <v>1.0</v>
      </c>
      <c r="F3" s="9">
        <v>1.0</v>
      </c>
      <c r="G3" s="9">
        <v>0.536135</v>
      </c>
      <c r="I3" s="6" t="s">
        <v>25</v>
      </c>
      <c r="J3" s="6" t="s">
        <v>24</v>
      </c>
      <c r="K3" s="6" t="s">
        <v>20</v>
      </c>
      <c r="L3" s="6" t="s">
        <v>21</v>
      </c>
      <c r="M3" s="9">
        <v>1.0</v>
      </c>
      <c r="N3" s="9">
        <v>1.0</v>
      </c>
      <c r="O3" s="9">
        <v>0.536135</v>
      </c>
      <c r="Q3" s="2" t="s">
        <v>5</v>
      </c>
      <c r="R3" s="5">
        <f>average(O3:O16)</f>
        <v>0.9720946429</v>
      </c>
    </row>
    <row r="4">
      <c r="A4" s="10" t="s">
        <v>23</v>
      </c>
      <c r="B4" s="10" t="s">
        <v>24</v>
      </c>
      <c r="C4" s="10" t="s">
        <v>20</v>
      </c>
      <c r="D4" s="10" t="s">
        <v>21</v>
      </c>
      <c r="E4" s="11">
        <v>0.0</v>
      </c>
      <c r="F4" s="11">
        <v>1.0</v>
      </c>
      <c r="G4" s="11">
        <v>0.878877</v>
      </c>
      <c r="I4" s="6" t="s">
        <v>22</v>
      </c>
      <c r="J4" s="6" t="s">
        <v>19</v>
      </c>
      <c r="K4" s="6" t="s">
        <v>20</v>
      </c>
      <c r="L4" s="6" t="s">
        <v>21</v>
      </c>
      <c r="M4" s="9">
        <v>1.0</v>
      </c>
      <c r="N4" s="9">
        <v>1.0</v>
      </c>
      <c r="O4" s="9">
        <v>0.664068</v>
      </c>
    </row>
    <row r="5">
      <c r="A5" s="6" t="s">
        <v>22</v>
      </c>
      <c r="B5" s="6" t="s">
        <v>19</v>
      </c>
      <c r="C5" s="6" t="s">
        <v>20</v>
      </c>
      <c r="D5" s="6" t="s">
        <v>21</v>
      </c>
      <c r="E5" s="9">
        <v>1.0</v>
      </c>
      <c r="F5" s="9">
        <v>1.0</v>
      </c>
      <c r="G5" s="9">
        <v>0.664068</v>
      </c>
      <c r="I5" s="6" t="s">
        <v>18</v>
      </c>
      <c r="J5" s="6" t="s">
        <v>19</v>
      </c>
      <c r="K5" s="6" t="s">
        <v>20</v>
      </c>
      <c r="L5" s="6" t="s">
        <v>21</v>
      </c>
      <c r="M5" s="9">
        <v>0.0</v>
      </c>
      <c r="N5" s="9">
        <v>0.0</v>
      </c>
      <c r="O5" s="9">
        <v>0.696775</v>
      </c>
    </row>
    <row r="6">
      <c r="A6" s="6" t="s">
        <v>18</v>
      </c>
      <c r="B6" s="6" t="s">
        <v>19</v>
      </c>
      <c r="C6" s="6" t="s">
        <v>20</v>
      </c>
      <c r="D6" s="6" t="s">
        <v>21</v>
      </c>
      <c r="E6" s="9">
        <v>0.0</v>
      </c>
      <c r="F6" s="9">
        <v>0.0</v>
      </c>
      <c r="G6" s="9">
        <v>0.696775</v>
      </c>
      <c r="I6" s="6" t="s">
        <v>26</v>
      </c>
      <c r="J6" s="6" t="s">
        <v>24</v>
      </c>
      <c r="K6" s="6" t="s">
        <v>27</v>
      </c>
      <c r="L6" s="6" t="s">
        <v>28</v>
      </c>
      <c r="M6" s="9">
        <v>0.0</v>
      </c>
      <c r="N6" s="9">
        <v>0.0</v>
      </c>
      <c r="O6" s="9">
        <v>1.360187</v>
      </c>
    </row>
    <row r="7">
      <c r="A7" s="6" t="s">
        <v>26</v>
      </c>
      <c r="B7" s="6" t="s">
        <v>24</v>
      </c>
      <c r="C7" s="6" t="s">
        <v>27</v>
      </c>
      <c r="D7" s="6" t="s">
        <v>28</v>
      </c>
      <c r="E7" s="9">
        <v>0.0</v>
      </c>
      <c r="F7" s="9">
        <v>0.0</v>
      </c>
      <c r="G7" s="9">
        <v>1.360187</v>
      </c>
      <c r="I7" s="6" t="s">
        <v>31</v>
      </c>
      <c r="J7" s="6" t="s">
        <v>24</v>
      </c>
      <c r="K7" s="6" t="s">
        <v>27</v>
      </c>
      <c r="L7" s="6" t="s">
        <v>28</v>
      </c>
      <c r="M7" s="9">
        <v>0.0</v>
      </c>
      <c r="N7" s="9">
        <v>0.0</v>
      </c>
      <c r="O7" s="9">
        <v>0.733848</v>
      </c>
    </row>
    <row r="8">
      <c r="A8" s="6" t="s">
        <v>31</v>
      </c>
      <c r="B8" s="6" t="s">
        <v>24</v>
      </c>
      <c r="C8" s="6" t="s">
        <v>27</v>
      </c>
      <c r="D8" s="6" t="s">
        <v>28</v>
      </c>
      <c r="E8" s="9">
        <v>0.0</v>
      </c>
      <c r="F8" s="9">
        <v>0.0</v>
      </c>
      <c r="G8" s="9">
        <v>0.733848</v>
      </c>
      <c r="I8" s="6" t="s">
        <v>30</v>
      </c>
      <c r="J8" s="6" t="s">
        <v>19</v>
      </c>
      <c r="K8" s="6" t="s">
        <v>27</v>
      </c>
      <c r="L8" s="6" t="s">
        <v>28</v>
      </c>
      <c r="M8" s="9">
        <v>1.0</v>
      </c>
      <c r="N8" s="9">
        <v>1.0</v>
      </c>
      <c r="O8" s="9">
        <v>1.266472</v>
      </c>
    </row>
    <row r="9">
      <c r="A9" s="6" t="s">
        <v>30</v>
      </c>
      <c r="B9" s="6" t="s">
        <v>19</v>
      </c>
      <c r="C9" s="6" t="s">
        <v>27</v>
      </c>
      <c r="D9" s="6" t="s">
        <v>28</v>
      </c>
      <c r="E9" s="9">
        <v>1.0</v>
      </c>
      <c r="F9" s="9">
        <v>1.0</v>
      </c>
      <c r="G9" s="9">
        <v>1.266472</v>
      </c>
      <c r="I9" s="6" t="s">
        <v>29</v>
      </c>
      <c r="J9" s="6" t="s">
        <v>19</v>
      </c>
      <c r="K9" s="6" t="s">
        <v>27</v>
      </c>
      <c r="L9" s="6" t="s">
        <v>28</v>
      </c>
      <c r="M9" s="9">
        <v>0.0</v>
      </c>
      <c r="N9" s="9">
        <v>0.0</v>
      </c>
      <c r="O9" s="9">
        <v>1.411137</v>
      </c>
    </row>
    <row r="10">
      <c r="A10" s="6" t="s">
        <v>29</v>
      </c>
      <c r="B10" s="6" t="s">
        <v>19</v>
      </c>
      <c r="C10" s="6" t="s">
        <v>27</v>
      </c>
      <c r="D10" s="6" t="s">
        <v>28</v>
      </c>
      <c r="E10" s="9">
        <v>0.0</v>
      </c>
      <c r="F10" s="9">
        <v>0.0</v>
      </c>
      <c r="G10" s="9">
        <v>1.411137</v>
      </c>
      <c r="I10" s="6" t="s">
        <v>34</v>
      </c>
      <c r="J10" s="6" t="s">
        <v>24</v>
      </c>
      <c r="K10" s="6" t="s">
        <v>27</v>
      </c>
      <c r="L10" s="6" t="s">
        <v>33</v>
      </c>
      <c r="M10" s="9">
        <v>1.0</v>
      </c>
      <c r="N10" s="9">
        <v>1.0</v>
      </c>
      <c r="O10" s="9">
        <v>1.138229</v>
      </c>
    </row>
    <row r="11">
      <c r="A11" s="6" t="s">
        <v>34</v>
      </c>
      <c r="B11" s="6" t="s">
        <v>24</v>
      </c>
      <c r="C11" s="6" t="s">
        <v>27</v>
      </c>
      <c r="D11" s="6" t="s">
        <v>33</v>
      </c>
      <c r="E11" s="9">
        <v>1.0</v>
      </c>
      <c r="F11" s="9">
        <v>1.0</v>
      </c>
      <c r="G11" s="9">
        <v>1.138229</v>
      </c>
      <c r="I11" s="6" t="s">
        <v>32</v>
      </c>
      <c r="J11" s="6" t="s">
        <v>24</v>
      </c>
      <c r="K11" s="6" t="s">
        <v>27</v>
      </c>
      <c r="L11" s="6" t="s">
        <v>33</v>
      </c>
      <c r="M11" s="9">
        <v>0.0</v>
      </c>
      <c r="N11" s="9">
        <v>0.0</v>
      </c>
      <c r="O11" s="9">
        <v>2.265795</v>
      </c>
    </row>
    <row r="12">
      <c r="A12" s="6" t="s">
        <v>32</v>
      </c>
      <c r="B12" s="6" t="s">
        <v>24</v>
      </c>
      <c r="C12" s="6" t="s">
        <v>27</v>
      </c>
      <c r="D12" s="6" t="s">
        <v>33</v>
      </c>
      <c r="E12" s="9">
        <v>0.0</v>
      </c>
      <c r="F12" s="9">
        <v>0.0</v>
      </c>
      <c r="G12" s="9">
        <v>2.265795</v>
      </c>
      <c r="I12" s="6" t="s">
        <v>35</v>
      </c>
      <c r="J12" s="6" t="s">
        <v>19</v>
      </c>
      <c r="K12" s="6" t="s">
        <v>27</v>
      </c>
      <c r="L12" s="6" t="s">
        <v>33</v>
      </c>
      <c r="M12" s="9">
        <v>1.0</v>
      </c>
      <c r="N12" s="9">
        <v>1.0</v>
      </c>
      <c r="O12" s="9">
        <v>0.437294</v>
      </c>
    </row>
    <row r="13">
      <c r="A13" s="6" t="s">
        <v>35</v>
      </c>
      <c r="B13" s="6" t="s">
        <v>19</v>
      </c>
      <c r="C13" s="6" t="s">
        <v>27</v>
      </c>
      <c r="D13" s="6" t="s">
        <v>33</v>
      </c>
      <c r="E13" s="9">
        <v>1.0</v>
      </c>
      <c r="F13" s="9">
        <v>1.0</v>
      </c>
      <c r="G13" s="9">
        <v>0.437294</v>
      </c>
      <c r="I13" s="6" t="s">
        <v>29</v>
      </c>
      <c r="J13" s="6" t="s">
        <v>19</v>
      </c>
      <c r="K13" s="6" t="s">
        <v>27</v>
      </c>
      <c r="L13" s="6" t="s">
        <v>33</v>
      </c>
      <c r="M13" s="9">
        <v>0.0</v>
      </c>
      <c r="N13" s="9">
        <v>0.0</v>
      </c>
      <c r="O13" s="9">
        <v>1.059058</v>
      </c>
    </row>
    <row r="14">
      <c r="A14" s="6" t="s">
        <v>29</v>
      </c>
      <c r="B14" s="6" t="s">
        <v>19</v>
      </c>
      <c r="C14" s="6" t="s">
        <v>27</v>
      </c>
      <c r="D14" s="6" t="s">
        <v>33</v>
      </c>
      <c r="E14" s="9">
        <v>0.0</v>
      </c>
      <c r="F14" s="9">
        <v>0.0</v>
      </c>
      <c r="G14" s="9">
        <v>1.059058</v>
      </c>
      <c r="I14" s="6" t="s">
        <v>40</v>
      </c>
      <c r="J14" s="6" t="s">
        <v>19</v>
      </c>
      <c r="K14" s="6" t="s">
        <v>20</v>
      </c>
      <c r="L14" s="6" t="s">
        <v>37</v>
      </c>
      <c r="M14" s="9">
        <v>0.0</v>
      </c>
      <c r="N14" s="9">
        <v>0.0</v>
      </c>
      <c r="O14" s="9">
        <v>0.649953</v>
      </c>
    </row>
    <row r="15">
      <c r="A15" s="6" t="s">
        <v>40</v>
      </c>
      <c r="B15" s="6" t="s">
        <v>19</v>
      </c>
      <c r="C15" s="6" t="s">
        <v>20</v>
      </c>
      <c r="D15" s="6" t="s">
        <v>37</v>
      </c>
      <c r="E15" s="9">
        <v>0.0</v>
      </c>
      <c r="F15" s="9">
        <v>0.0</v>
      </c>
      <c r="G15" s="9">
        <v>0.649953</v>
      </c>
      <c r="I15" s="6" t="s">
        <v>39</v>
      </c>
      <c r="J15" s="6" t="s">
        <v>19</v>
      </c>
      <c r="K15" s="6" t="s">
        <v>20</v>
      </c>
      <c r="L15" s="6" t="s">
        <v>37</v>
      </c>
      <c r="M15" s="9">
        <v>1.0</v>
      </c>
      <c r="N15" s="9">
        <v>1.0</v>
      </c>
      <c r="O15" s="9">
        <v>0.456645</v>
      </c>
    </row>
    <row r="16">
      <c r="A16" s="6" t="s">
        <v>39</v>
      </c>
      <c r="B16" s="6" t="s">
        <v>19</v>
      </c>
      <c r="C16" s="6" t="s">
        <v>20</v>
      </c>
      <c r="D16" s="6" t="s">
        <v>37</v>
      </c>
      <c r="E16" s="9">
        <v>1.0</v>
      </c>
      <c r="F16" s="9">
        <v>1.0</v>
      </c>
      <c r="G16" s="9">
        <v>0.456645</v>
      </c>
      <c r="I16" s="6" t="s">
        <v>36</v>
      </c>
      <c r="J16" s="6" t="s">
        <v>24</v>
      </c>
      <c r="K16" s="6" t="s">
        <v>20</v>
      </c>
      <c r="L16" s="6" t="s">
        <v>37</v>
      </c>
      <c r="M16" s="9">
        <v>1.0</v>
      </c>
      <c r="N16" s="9">
        <v>1.0</v>
      </c>
      <c r="O16" s="9">
        <v>0.933729</v>
      </c>
    </row>
    <row r="17">
      <c r="A17" s="10" t="s">
        <v>38</v>
      </c>
      <c r="B17" s="10" t="s">
        <v>24</v>
      </c>
      <c r="C17" s="10" t="s">
        <v>20</v>
      </c>
      <c r="D17" s="10" t="s">
        <v>37</v>
      </c>
      <c r="E17" s="11">
        <v>0.0</v>
      </c>
      <c r="F17" s="11">
        <v>1.0</v>
      </c>
      <c r="G17" s="11">
        <v>2.758351</v>
      </c>
    </row>
    <row r="18">
      <c r="A18" s="6" t="s">
        <v>36</v>
      </c>
      <c r="B18" s="6" t="s">
        <v>24</v>
      </c>
      <c r="C18" s="6" t="s">
        <v>20</v>
      </c>
      <c r="D18" s="6" t="s">
        <v>37</v>
      </c>
      <c r="E18" s="9">
        <v>1.0</v>
      </c>
      <c r="F18" s="9">
        <v>1.0</v>
      </c>
      <c r="G18" s="9">
        <v>0.933729</v>
      </c>
      <c r="I18" s="2" t="s">
        <v>41</v>
      </c>
      <c r="J18" s="5">
        <f>14/16</f>
        <v>0.875</v>
      </c>
    </row>
    <row r="19">
      <c r="A19" s="8"/>
      <c r="B19" s="8"/>
      <c r="C19" s="8"/>
      <c r="D19" s="8"/>
    </row>
    <row r="20">
      <c r="A20" s="8"/>
      <c r="B20" s="8"/>
      <c r="C20" s="8"/>
      <c r="D20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2" t="s">
        <v>3</v>
      </c>
      <c r="J1" s="2" t="s">
        <v>17</v>
      </c>
      <c r="L1" s="6"/>
      <c r="M1" s="6"/>
      <c r="N1" s="7"/>
    </row>
    <row r="2">
      <c r="A2" s="8"/>
      <c r="B2" s="8"/>
      <c r="C2" s="8"/>
      <c r="D2" s="8"/>
      <c r="I2" s="2" t="s">
        <v>6</v>
      </c>
      <c r="J2" s="5">
        <v>1.0585342857142859</v>
      </c>
    </row>
    <row r="3">
      <c r="A3" s="6" t="s">
        <v>23</v>
      </c>
      <c r="B3" s="6" t="s">
        <v>24</v>
      </c>
      <c r="C3" s="6" t="s">
        <v>20</v>
      </c>
      <c r="D3" s="6" t="s">
        <v>21</v>
      </c>
      <c r="E3" s="9">
        <v>0.0</v>
      </c>
      <c r="F3" s="9">
        <v>0.0</v>
      </c>
      <c r="G3" s="12">
        <v>1.102849</v>
      </c>
      <c r="I3" s="2" t="s">
        <v>5</v>
      </c>
      <c r="J3" s="2">
        <v>1.086739125</v>
      </c>
    </row>
    <row r="4">
      <c r="A4" s="6" t="s">
        <v>22</v>
      </c>
      <c r="B4" s="6" t="s">
        <v>19</v>
      </c>
      <c r="C4" s="6" t="s">
        <v>20</v>
      </c>
      <c r="D4" s="6" t="s">
        <v>21</v>
      </c>
      <c r="E4" s="9">
        <v>1.0</v>
      </c>
      <c r="F4" s="9">
        <v>1.0</v>
      </c>
      <c r="G4" s="9">
        <v>1.129604</v>
      </c>
    </row>
    <row r="5">
      <c r="A5" s="6" t="s">
        <v>18</v>
      </c>
      <c r="B5" s="6" t="s">
        <v>19</v>
      </c>
      <c r="C5" s="6" t="s">
        <v>20</v>
      </c>
      <c r="D5" s="6" t="s">
        <v>21</v>
      </c>
      <c r="E5" s="9">
        <v>0.0</v>
      </c>
      <c r="F5" s="9">
        <v>0.0</v>
      </c>
      <c r="G5" s="9">
        <v>0.862582</v>
      </c>
    </row>
    <row r="6">
      <c r="A6" s="6" t="s">
        <v>25</v>
      </c>
      <c r="B6" s="6" t="s">
        <v>24</v>
      </c>
      <c r="C6" s="6" t="s">
        <v>20</v>
      </c>
      <c r="D6" s="6" t="s">
        <v>21</v>
      </c>
      <c r="E6" s="9">
        <v>1.0</v>
      </c>
      <c r="F6" s="9">
        <v>1.0</v>
      </c>
      <c r="G6" s="9">
        <v>1.089968</v>
      </c>
    </row>
    <row r="7">
      <c r="A7" s="6" t="s">
        <v>31</v>
      </c>
      <c r="B7" s="6" t="s">
        <v>24</v>
      </c>
      <c r="C7" s="6" t="s">
        <v>27</v>
      </c>
      <c r="D7" s="6" t="s">
        <v>28</v>
      </c>
      <c r="E7" s="9">
        <v>0.0</v>
      </c>
      <c r="F7" s="9">
        <v>0.0</v>
      </c>
      <c r="G7" s="9">
        <v>1.401473</v>
      </c>
    </row>
    <row r="8">
      <c r="A8" s="6" t="s">
        <v>29</v>
      </c>
      <c r="B8" s="6" t="s">
        <v>19</v>
      </c>
      <c r="C8" s="6" t="s">
        <v>27</v>
      </c>
      <c r="D8" s="6" t="s">
        <v>28</v>
      </c>
      <c r="E8" s="9">
        <v>0.0</v>
      </c>
      <c r="F8" s="9">
        <v>0.0</v>
      </c>
      <c r="G8" s="9">
        <v>0.510184</v>
      </c>
    </row>
    <row r="9">
      <c r="A9" s="6" t="s">
        <v>30</v>
      </c>
      <c r="B9" s="6" t="s">
        <v>19</v>
      </c>
      <c r="C9" s="6" t="s">
        <v>27</v>
      </c>
      <c r="D9" s="6" t="s">
        <v>28</v>
      </c>
      <c r="E9" s="9">
        <v>1.0</v>
      </c>
      <c r="F9" s="9">
        <v>1.0</v>
      </c>
      <c r="G9" s="9">
        <v>1.15234</v>
      </c>
    </row>
    <row r="10">
      <c r="A10" s="6" t="s">
        <v>26</v>
      </c>
      <c r="B10" s="6" t="s">
        <v>24</v>
      </c>
      <c r="C10" s="6" t="s">
        <v>27</v>
      </c>
      <c r="D10" s="6" t="s">
        <v>28</v>
      </c>
      <c r="E10" s="9">
        <v>0.0</v>
      </c>
      <c r="F10" s="9">
        <v>0.0</v>
      </c>
      <c r="G10" s="9">
        <v>0.799763</v>
      </c>
    </row>
    <row r="11">
      <c r="A11" s="6" t="s">
        <v>34</v>
      </c>
      <c r="B11" s="6" t="s">
        <v>24</v>
      </c>
      <c r="C11" s="6" t="s">
        <v>27</v>
      </c>
      <c r="D11" s="6" t="s">
        <v>33</v>
      </c>
      <c r="E11" s="9">
        <v>1.0</v>
      </c>
      <c r="F11" s="9">
        <v>1.0</v>
      </c>
      <c r="G11" s="9">
        <v>2.131168</v>
      </c>
    </row>
    <row r="12">
      <c r="A12" s="6" t="s">
        <v>35</v>
      </c>
      <c r="B12" s="6" t="s">
        <v>19</v>
      </c>
      <c r="C12" s="6" t="s">
        <v>27</v>
      </c>
      <c r="D12" s="6" t="s">
        <v>33</v>
      </c>
      <c r="E12" s="9">
        <v>1.0</v>
      </c>
      <c r="F12" s="9">
        <v>1.0</v>
      </c>
      <c r="G12" s="9">
        <v>0.576</v>
      </c>
    </row>
    <row r="13">
      <c r="A13" s="6" t="s">
        <v>32</v>
      </c>
      <c r="B13" s="6" t="s">
        <v>24</v>
      </c>
      <c r="C13" s="6" t="s">
        <v>27</v>
      </c>
      <c r="D13" s="6" t="s">
        <v>33</v>
      </c>
      <c r="E13" s="9">
        <v>0.0</v>
      </c>
      <c r="F13" s="9">
        <v>0.0</v>
      </c>
      <c r="G13" s="9">
        <v>0.496299</v>
      </c>
    </row>
    <row r="14">
      <c r="A14" s="6" t="s">
        <v>29</v>
      </c>
      <c r="B14" s="6" t="s">
        <v>19</v>
      </c>
      <c r="C14" s="6" t="s">
        <v>27</v>
      </c>
      <c r="D14" s="6" t="s">
        <v>33</v>
      </c>
      <c r="E14" s="9">
        <v>0.0</v>
      </c>
      <c r="F14" s="9">
        <v>0.0</v>
      </c>
      <c r="G14" s="9">
        <v>0.847413</v>
      </c>
    </row>
    <row r="15">
      <c r="A15" s="6" t="s">
        <v>39</v>
      </c>
      <c r="B15" s="6" t="s">
        <v>19</v>
      </c>
      <c r="C15" s="6" t="s">
        <v>20</v>
      </c>
      <c r="D15" s="6" t="s">
        <v>37</v>
      </c>
      <c r="E15" s="9">
        <v>1.0</v>
      </c>
      <c r="F15" s="9">
        <v>1.0</v>
      </c>
      <c r="G15" s="9">
        <v>1.369215</v>
      </c>
    </row>
    <row r="16">
      <c r="A16" s="6" t="s">
        <v>36</v>
      </c>
      <c r="B16" s="6" t="s">
        <v>24</v>
      </c>
      <c r="C16" s="6" t="s">
        <v>20</v>
      </c>
      <c r="D16" s="6" t="s">
        <v>37</v>
      </c>
      <c r="E16" s="9">
        <v>1.0</v>
      </c>
      <c r="F16" s="9">
        <v>1.0</v>
      </c>
      <c r="G16" s="9">
        <v>0.764073</v>
      </c>
    </row>
    <row r="17">
      <c r="A17" s="6" t="s">
        <v>40</v>
      </c>
      <c r="B17" s="6" t="s">
        <v>19</v>
      </c>
      <c r="C17" s="6" t="s">
        <v>20</v>
      </c>
      <c r="D17" s="6" t="s">
        <v>37</v>
      </c>
      <c r="E17" s="9">
        <v>0.0</v>
      </c>
      <c r="F17" s="9">
        <v>0.0</v>
      </c>
      <c r="G17" s="9">
        <v>1.689398</v>
      </c>
    </row>
    <row r="18">
      <c r="A18" s="6" t="s">
        <v>38</v>
      </c>
      <c r="B18" s="6" t="s">
        <v>24</v>
      </c>
      <c r="C18" s="6" t="s">
        <v>20</v>
      </c>
      <c r="D18" s="6" t="s">
        <v>37</v>
      </c>
      <c r="E18" s="9">
        <v>0.0</v>
      </c>
      <c r="F18" s="9">
        <v>0.0</v>
      </c>
      <c r="G18" s="9">
        <v>1.465497</v>
      </c>
      <c r="I18" s="2" t="s">
        <v>41</v>
      </c>
      <c r="J18" s="5">
        <f>16/16</f>
        <v>1</v>
      </c>
    </row>
    <row r="19">
      <c r="A19" s="8"/>
      <c r="B19" s="8"/>
      <c r="C19" s="8"/>
      <c r="D19" s="8"/>
    </row>
    <row r="20">
      <c r="A20" s="8"/>
      <c r="B20" s="8"/>
      <c r="C20" s="8"/>
      <c r="D20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6" t="s">
        <v>10</v>
      </c>
      <c r="J1" s="6" t="s">
        <v>11</v>
      </c>
      <c r="K1" s="6" t="s">
        <v>12</v>
      </c>
      <c r="L1" s="6" t="s">
        <v>13</v>
      </c>
      <c r="M1" s="6" t="s">
        <v>14</v>
      </c>
      <c r="N1" s="7" t="s">
        <v>15</v>
      </c>
      <c r="O1" s="2" t="s">
        <v>16</v>
      </c>
      <c r="Q1" s="2" t="s">
        <v>3</v>
      </c>
      <c r="R1" s="2" t="s">
        <v>17</v>
      </c>
    </row>
    <row r="2">
      <c r="A2" s="8"/>
      <c r="B2" s="8"/>
      <c r="C2" s="8"/>
      <c r="D2" s="8"/>
      <c r="I2" s="13"/>
      <c r="J2" s="13"/>
      <c r="K2" s="13"/>
      <c r="Q2" s="2" t="s">
        <v>6</v>
      </c>
      <c r="R2" s="5">
        <v>0.8074370000000001</v>
      </c>
    </row>
    <row r="3">
      <c r="A3" s="6" t="s">
        <v>25</v>
      </c>
      <c r="B3" s="6" t="s">
        <v>24</v>
      </c>
      <c r="C3" s="6" t="s">
        <v>20</v>
      </c>
      <c r="D3" s="6" t="s">
        <v>21</v>
      </c>
      <c r="E3" s="9">
        <v>1.0</v>
      </c>
      <c r="F3" s="9">
        <v>1.0</v>
      </c>
      <c r="G3" s="9">
        <v>0.349761</v>
      </c>
      <c r="I3" s="6" t="s">
        <v>25</v>
      </c>
      <c r="J3" s="6" t="s">
        <v>24</v>
      </c>
      <c r="K3" s="6" t="s">
        <v>20</v>
      </c>
      <c r="L3" s="6" t="s">
        <v>21</v>
      </c>
      <c r="M3" s="9">
        <v>1.0</v>
      </c>
      <c r="N3" s="9">
        <v>1.0</v>
      </c>
      <c r="O3" s="9">
        <v>0.349761</v>
      </c>
      <c r="Q3" s="2" t="s">
        <v>5</v>
      </c>
      <c r="R3" s="5">
        <v>0.6963386153846154</v>
      </c>
    </row>
    <row r="4">
      <c r="A4" s="6" t="s">
        <v>23</v>
      </c>
      <c r="B4" s="6" t="s">
        <v>24</v>
      </c>
      <c r="C4" s="6" t="s">
        <v>20</v>
      </c>
      <c r="D4" s="6" t="s">
        <v>21</v>
      </c>
      <c r="E4" s="9">
        <v>0.0</v>
      </c>
      <c r="F4" s="9">
        <v>0.0</v>
      </c>
      <c r="G4" s="9">
        <v>0.417026</v>
      </c>
      <c r="I4" s="6" t="s">
        <v>23</v>
      </c>
      <c r="J4" s="6" t="s">
        <v>24</v>
      </c>
      <c r="K4" s="6" t="s">
        <v>20</v>
      </c>
      <c r="L4" s="6" t="s">
        <v>21</v>
      </c>
      <c r="M4" s="9">
        <v>0.0</v>
      </c>
      <c r="N4" s="9">
        <v>0.0</v>
      </c>
      <c r="O4" s="9">
        <v>0.417026</v>
      </c>
    </row>
    <row r="5">
      <c r="A5" s="6" t="s">
        <v>22</v>
      </c>
      <c r="B5" s="6" t="s">
        <v>19</v>
      </c>
      <c r="C5" s="6" t="s">
        <v>20</v>
      </c>
      <c r="D5" s="6" t="s">
        <v>21</v>
      </c>
      <c r="E5" s="9">
        <v>1.0</v>
      </c>
      <c r="F5" s="9">
        <v>1.0</v>
      </c>
      <c r="G5" s="9">
        <v>0.811503</v>
      </c>
      <c r="I5" s="6" t="s">
        <v>22</v>
      </c>
      <c r="J5" s="6" t="s">
        <v>19</v>
      </c>
      <c r="K5" s="6" t="s">
        <v>20</v>
      </c>
      <c r="L5" s="6" t="s">
        <v>21</v>
      </c>
      <c r="M5" s="9">
        <v>1.0</v>
      </c>
      <c r="N5" s="9">
        <v>1.0</v>
      </c>
      <c r="O5" s="9">
        <v>0.811503</v>
      </c>
    </row>
    <row r="6">
      <c r="A6" s="6" t="s">
        <v>18</v>
      </c>
      <c r="B6" s="6" t="s">
        <v>19</v>
      </c>
      <c r="C6" s="6" t="s">
        <v>20</v>
      </c>
      <c r="D6" s="6" t="s">
        <v>21</v>
      </c>
      <c r="E6" s="9">
        <v>0.0</v>
      </c>
      <c r="F6" s="9">
        <v>0.0</v>
      </c>
      <c r="G6" s="9">
        <v>0.544264</v>
      </c>
      <c r="I6" s="6" t="s">
        <v>18</v>
      </c>
      <c r="J6" s="6" t="s">
        <v>19</v>
      </c>
      <c r="K6" s="6" t="s">
        <v>20</v>
      </c>
      <c r="L6" s="6" t="s">
        <v>21</v>
      </c>
      <c r="M6" s="9">
        <v>0.0</v>
      </c>
      <c r="N6" s="9">
        <v>0.0</v>
      </c>
      <c r="O6" s="9">
        <v>0.544264</v>
      </c>
    </row>
    <row r="7">
      <c r="A7" s="6" t="s">
        <v>31</v>
      </c>
      <c r="B7" s="6" t="s">
        <v>24</v>
      </c>
      <c r="C7" s="6" t="s">
        <v>27</v>
      </c>
      <c r="D7" s="6" t="s">
        <v>28</v>
      </c>
      <c r="E7" s="9">
        <v>0.0</v>
      </c>
      <c r="F7" s="9">
        <v>0.0</v>
      </c>
      <c r="G7" s="9">
        <v>0.401067</v>
      </c>
      <c r="I7" s="6" t="s">
        <v>31</v>
      </c>
      <c r="J7" s="6" t="s">
        <v>24</v>
      </c>
      <c r="K7" s="6" t="s">
        <v>27</v>
      </c>
      <c r="L7" s="6" t="s">
        <v>28</v>
      </c>
      <c r="M7" s="9">
        <v>0.0</v>
      </c>
      <c r="N7" s="9">
        <v>0.0</v>
      </c>
      <c r="O7" s="9">
        <v>0.401067</v>
      </c>
    </row>
    <row r="8">
      <c r="A8" s="6" t="s">
        <v>29</v>
      </c>
      <c r="B8" s="6" t="s">
        <v>19</v>
      </c>
      <c r="C8" s="6" t="s">
        <v>27</v>
      </c>
      <c r="D8" s="6" t="s">
        <v>28</v>
      </c>
      <c r="E8" s="9">
        <v>0.0</v>
      </c>
      <c r="F8" s="9">
        <v>0.0</v>
      </c>
      <c r="G8" s="9">
        <v>0.754769</v>
      </c>
      <c r="I8" s="6" t="s">
        <v>29</v>
      </c>
      <c r="J8" s="6" t="s">
        <v>19</v>
      </c>
      <c r="K8" s="6" t="s">
        <v>27</v>
      </c>
      <c r="L8" s="6" t="s">
        <v>28</v>
      </c>
      <c r="M8" s="9">
        <v>0.0</v>
      </c>
      <c r="N8" s="9">
        <v>0.0</v>
      </c>
      <c r="O8" s="9">
        <v>0.754769</v>
      </c>
    </row>
    <row r="9">
      <c r="A9" s="6" t="s">
        <v>26</v>
      </c>
      <c r="B9" s="6" t="s">
        <v>24</v>
      </c>
      <c r="C9" s="6" t="s">
        <v>27</v>
      </c>
      <c r="D9" s="6" t="s">
        <v>28</v>
      </c>
      <c r="E9" s="9">
        <v>0.0</v>
      </c>
      <c r="F9" s="9">
        <v>0.0</v>
      </c>
      <c r="G9" s="9">
        <v>0.92839</v>
      </c>
      <c r="I9" s="6" t="s">
        <v>26</v>
      </c>
      <c r="J9" s="6" t="s">
        <v>24</v>
      </c>
      <c r="K9" s="6" t="s">
        <v>27</v>
      </c>
      <c r="L9" s="6" t="s">
        <v>28</v>
      </c>
      <c r="M9" s="9">
        <v>0.0</v>
      </c>
      <c r="N9" s="9">
        <v>0.0</v>
      </c>
      <c r="O9" s="9">
        <v>0.92839</v>
      </c>
    </row>
    <row r="10">
      <c r="A10" s="6" t="s">
        <v>30</v>
      </c>
      <c r="B10" s="6" t="s">
        <v>19</v>
      </c>
      <c r="C10" s="6" t="s">
        <v>27</v>
      </c>
      <c r="D10" s="6" t="s">
        <v>28</v>
      </c>
      <c r="E10" s="9">
        <v>1.0</v>
      </c>
      <c r="F10" s="9">
        <v>1.0</v>
      </c>
      <c r="G10" s="9">
        <v>2.19683</v>
      </c>
      <c r="I10" s="6" t="s">
        <v>30</v>
      </c>
      <c r="J10" s="6" t="s">
        <v>19</v>
      </c>
      <c r="K10" s="6" t="s">
        <v>27</v>
      </c>
      <c r="L10" s="6" t="s">
        <v>28</v>
      </c>
      <c r="M10" s="9">
        <v>1.0</v>
      </c>
      <c r="N10" s="9">
        <v>1.0</v>
      </c>
      <c r="O10" s="9">
        <v>2.19683</v>
      </c>
    </row>
    <row r="11">
      <c r="A11" s="6" t="s">
        <v>29</v>
      </c>
      <c r="B11" s="6" t="s">
        <v>19</v>
      </c>
      <c r="C11" s="6" t="s">
        <v>27</v>
      </c>
      <c r="D11" s="6" t="s">
        <v>33</v>
      </c>
      <c r="E11" s="9">
        <v>0.0</v>
      </c>
      <c r="F11" s="9">
        <v>0.0</v>
      </c>
      <c r="G11" s="9">
        <v>0.99686</v>
      </c>
      <c r="I11" s="6" t="s">
        <v>29</v>
      </c>
      <c r="J11" s="6" t="s">
        <v>19</v>
      </c>
      <c r="K11" s="6" t="s">
        <v>27</v>
      </c>
      <c r="L11" s="6" t="s">
        <v>33</v>
      </c>
      <c r="M11" s="9">
        <v>0.0</v>
      </c>
      <c r="N11" s="9">
        <v>0.0</v>
      </c>
      <c r="O11" s="9">
        <v>0.99686</v>
      </c>
    </row>
    <row r="12">
      <c r="A12" s="6" t="s">
        <v>34</v>
      </c>
      <c r="B12" s="6" t="s">
        <v>24</v>
      </c>
      <c r="C12" s="6" t="s">
        <v>27</v>
      </c>
      <c r="D12" s="6" t="s">
        <v>33</v>
      </c>
      <c r="E12" s="9">
        <v>1.0</v>
      </c>
      <c r="F12" s="9">
        <v>1.0</v>
      </c>
      <c r="G12" s="9">
        <v>0.250803</v>
      </c>
      <c r="I12" s="6" t="s">
        <v>34</v>
      </c>
      <c r="J12" s="6" t="s">
        <v>24</v>
      </c>
      <c r="K12" s="6" t="s">
        <v>27</v>
      </c>
      <c r="L12" s="6" t="s">
        <v>33</v>
      </c>
      <c r="M12" s="9">
        <v>1.0</v>
      </c>
      <c r="N12" s="9">
        <v>1.0</v>
      </c>
      <c r="O12" s="9">
        <v>0.250803</v>
      </c>
    </row>
    <row r="13">
      <c r="A13" s="6" t="s">
        <v>35</v>
      </c>
      <c r="B13" s="6" t="s">
        <v>19</v>
      </c>
      <c r="C13" s="6" t="s">
        <v>27</v>
      </c>
      <c r="D13" s="6" t="s">
        <v>33</v>
      </c>
      <c r="E13" s="9">
        <v>1.0</v>
      </c>
      <c r="F13" s="9">
        <v>1.0</v>
      </c>
      <c r="G13" s="9">
        <v>0.737611</v>
      </c>
      <c r="I13" s="6" t="s">
        <v>35</v>
      </c>
      <c r="J13" s="6" t="s">
        <v>19</v>
      </c>
      <c r="K13" s="6" t="s">
        <v>27</v>
      </c>
      <c r="L13" s="6" t="s">
        <v>33</v>
      </c>
      <c r="M13" s="9">
        <v>1.0</v>
      </c>
      <c r="N13" s="9">
        <v>1.0</v>
      </c>
      <c r="O13" s="9">
        <v>0.737611</v>
      </c>
    </row>
    <row r="14">
      <c r="A14" s="6" t="s">
        <v>32</v>
      </c>
      <c r="B14" s="6" t="s">
        <v>24</v>
      </c>
      <c r="C14" s="6" t="s">
        <v>27</v>
      </c>
      <c r="D14" s="6" t="s">
        <v>33</v>
      </c>
      <c r="E14" s="9">
        <v>0.0</v>
      </c>
      <c r="F14" s="9">
        <v>0.0</v>
      </c>
      <c r="G14" s="9">
        <v>0.261854</v>
      </c>
      <c r="I14" s="6" t="s">
        <v>32</v>
      </c>
      <c r="J14" s="6" t="s">
        <v>24</v>
      </c>
      <c r="K14" s="6" t="s">
        <v>27</v>
      </c>
      <c r="L14" s="6" t="s">
        <v>33</v>
      </c>
      <c r="M14" s="9">
        <v>0.0</v>
      </c>
      <c r="N14" s="9">
        <v>0.0</v>
      </c>
      <c r="O14" s="9">
        <v>0.261854</v>
      </c>
    </row>
    <row r="15">
      <c r="A15" s="6" t="s">
        <v>36</v>
      </c>
      <c r="B15" s="6" t="s">
        <v>24</v>
      </c>
      <c r="C15" s="6" t="s">
        <v>20</v>
      </c>
      <c r="D15" s="6" t="s">
        <v>37</v>
      </c>
      <c r="E15" s="9">
        <v>1.0</v>
      </c>
      <c r="F15" s="9">
        <v>1.0</v>
      </c>
      <c r="G15" s="9">
        <v>0.401664</v>
      </c>
      <c r="I15" s="6" t="s">
        <v>36</v>
      </c>
      <c r="J15" s="6" t="s">
        <v>24</v>
      </c>
      <c r="K15" s="6" t="s">
        <v>20</v>
      </c>
      <c r="L15" s="6" t="s">
        <v>37</v>
      </c>
      <c r="M15" s="9">
        <v>1.0</v>
      </c>
      <c r="N15" s="9">
        <v>1.0</v>
      </c>
      <c r="O15" s="9">
        <v>0.401664</v>
      </c>
    </row>
    <row r="16">
      <c r="A16" s="6" t="s">
        <v>40</v>
      </c>
      <c r="B16" s="6" t="s">
        <v>19</v>
      </c>
      <c r="C16" s="6" t="s">
        <v>20</v>
      </c>
      <c r="D16" s="6" t="s">
        <v>37</v>
      </c>
      <c r="E16" s="9">
        <v>0.0</v>
      </c>
      <c r="F16" s="9">
        <v>0.0</v>
      </c>
      <c r="G16" s="9">
        <v>0.920845</v>
      </c>
      <c r="I16" s="6" t="s">
        <v>40</v>
      </c>
      <c r="J16" s="6" t="s">
        <v>19</v>
      </c>
      <c r="K16" s="6" t="s">
        <v>20</v>
      </c>
      <c r="L16" s="6" t="s">
        <v>37</v>
      </c>
      <c r="M16" s="9">
        <v>0.0</v>
      </c>
      <c r="N16" s="9">
        <v>0.0</v>
      </c>
      <c r="O16" s="9">
        <v>0.920845</v>
      </c>
    </row>
    <row r="17">
      <c r="A17" s="6" t="s">
        <v>39</v>
      </c>
      <c r="B17" s="6" t="s">
        <v>19</v>
      </c>
      <c r="C17" s="6" t="s">
        <v>20</v>
      </c>
      <c r="D17" s="6" t="s">
        <v>37</v>
      </c>
      <c r="E17" s="9">
        <v>1.0</v>
      </c>
      <c r="F17" s="9">
        <v>1.0</v>
      </c>
      <c r="G17" s="9">
        <v>1.290221</v>
      </c>
      <c r="I17" s="6" t="s">
        <v>39</v>
      </c>
      <c r="J17" s="6" t="s">
        <v>19</v>
      </c>
      <c r="K17" s="6" t="s">
        <v>20</v>
      </c>
      <c r="L17" s="6" t="s">
        <v>37</v>
      </c>
      <c r="M17" s="9">
        <v>1.0</v>
      </c>
      <c r="N17" s="9">
        <v>1.0</v>
      </c>
      <c r="O17" s="9">
        <v>1.290221</v>
      </c>
    </row>
    <row r="18">
      <c r="A18" s="10" t="s">
        <v>38</v>
      </c>
      <c r="B18" s="10" t="s">
        <v>24</v>
      </c>
      <c r="C18" s="10" t="s">
        <v>20</v>
      </c>
      <c r="D18" s="10" t="s">
        <v>37</v>
      </c>
      <c r="E18" s="11">
        <v>0.0</v>
      </c>
      <c r="F18" s="11">
        <v>1.0</v>
      </c>
      <c r="G18" s="11">
        <v>0.412254</v>
      </c>
    </row>
    <row r="19">
      <c r="A19" s="8"/>
      <c r="B19" s="8"/>
      <c r="C19" s="8"/>
      <c r="D19" s="8"/>
      <c r="I19" s="2" t="s">
        <v>41</v>
      </c>
      <c r="J19" s="5">
        <f>15/16</f>
        <v>0.9375</v>
      </c>
    </row>
    <row r="20">
      <c r="A20" s="8"/>
      <c r="B20" s="8"/>
      <c r="C20" s="8"/>
      <c r="D20" s="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7" t="s">
        <v>15</v>
      </c>
      <c r="G1" s="2" t="s">
        <v>16</v>
      </c>
      <c r="I1" s="2" t="s">
        <v>3</v>
      </c>
      <c r="J1" s="2" t="s">
        <v>17</v>
      </c>
      <c r="L1" s="6"/>
      <c r="M1" s="6"/>
      <c r="N1" s="7"/>
    </row>
    <row r="2">
      <c r="A2" s="8"/>
      <c r="B2" s="8"/>
      <c r="C2" s="8"/>
      <c r="D2" s="8"/>
      <c r="I2" s="2" t="s">
        <v>6</v>
      </c>
      <c r="J2" s="5">
        <v>1.2028539999999999</v>
      </c>
    </row>
    <row r="3">
      <c r="A3" s="6" t="s">
        <v>22</v>
      </c>
      <c r="B3" s="6" t="s">
        <v>19</v>
      </c>
      <c r="C3" s="6" t="s">
        <v>20</v>
      </c>
      <c r="D3" s="6" t="s">
        <v>21</v>
      </c>
      <c r="E3" s="9">
        <v>1.0</v>
      </c>
      <c r="F3" s="9">
        <v>1.0</v>
      </c>
      <c r="G3" s="9">
        <v>0.897066</v>
      </c>
      <c r="I3" s="2" t="s">
        <v>5</v>
      </c>
      <c r="J3" s="2">
        <v>1.0738111538461539</v>
      </c>
    </row>
    <row r="4">
      <c r="A4" s="6" t="s">
        <v>18</v>
      </c>
      <c r="B4" s="6" t="s">
        <v>19</v>
      </c>
      <c r="C4" s="6" t="s">
        <v>20</v>
      </c>
      <c r="D4" s="6" t="s">
        <v>21</v>
      </c>
      <c r="E4" s="9">
        <v>0.0</v>
      </c>
      <c r="F4" s="9">
        <v>0.0</v>
      </c>
      <c r="G4" s="9">
        <v>1.447048</v>
      </c>
    </row>
    <row r="5">
      <c r="A5" s="6" t="s">
        <v>25</v>
      </c>
      <c r="B5" s="6" t="s">
        <v>24</v>
      </c>
      <c r="C5" s="6" t="s">
        <v>20</v>
      </c>
      <c r="D5" s="6" t="s">
        <v>21</v>
      </c>
      <c r="E5" s="9">
        <v>1.0</v>
      </c>
      <c r="F5" s="9">
        <v>1.0</v>
      </c>
      <c r="G5" s="9">
        <v>0.781908</v>
      </c>
    </row>
    <row r="6">
      <c r="A6" s="6" t="s">
        <v>23</v>
      </c>
      <c r="B6" s="6" t="s">
        <v>24</v>
      </c>
      <c r="C6" s="6" t="s">
        <v>20</v>
      </c>
      <c r="D6" s="6" t="s">
        <v>21</v>
      </c>
      <c r="E6" s="9">
        <v>0.0</v>
      </c>
      <c r="F6" s="9">
        <v>0.0</v>
      </c>
      <c r="G6" s="9">
        <v>0.336234</v>
      </c>
    </row>
    <row r="7">
      <c r="A7" s="6" t="s">
        <v>30</v>
      </c>
      <c r="B7" s="6" t="s">
        <v>19</v>
      </c>
      <c r="C7" s="6" t="s">
        <v>27</v>
      </c>
      <c r="D7" s="6" t="s">
        <v>28</v>
      </c>
      <c r="E7" s="9">
        <v>1.0</v>
      </c>
      <c r="F7" s="9">
        <v>1.0</v>
      </c>
      <c r="G7" s="9">
        <v>1.333651</v>
      </c>
    </row>
    <row r="8">
      <c r="A8" s="6" t="s">
        <v>26</v>
      </c>
      <c r="B8" s="6" t="s">
        <v>24</v>
      </c>
      <c r="C8" s="6" t="s">
        <v>27</v>
      </c>
      <c r="D8" s="6" t="s">
        <v>28</v>
      </c>
      <c r="E8" s="9">
        <v>0.0</v>
      </c>
      <c r="F8" s="9">
        <v>0.0</v>
      </c>
      <c r="G8" s="9">
        <v>0.333801</v>
      </c>
    </row>
    <row r="9">
      <c r="A9" s="6" t="s">
        <v>31</v>
      </c>
      <c r="B9" s="6" t="s">
        <v>24</v>
      </c>
      <c r="C9" s="6" t="s">
        <v>27</v>
      </c>
      <c r="D9" s="6" t="s">
        <v>28</v>
      </c>
      <c r="E9" s="9">
        <v>0.0</v>
      </c>
      <c r="F9" s="9">
        <v>0.0</v>
      </c>
      <c r="G9" s="9">
        <v>0.656183</v>
      </c>
    </row>
    <row r="10">
      <c r="A10" s="6" t="s">
        <v>29</v>
      </c>
      <c r="B10" s="6" t="s">
        <v>19</v>
      </c>
      <c r="C10" s="6" t="s">
        <v>27</v>
      </c>
      <c r="D10" s="6" t="s">
        <v>28</v>
      </c>
      <c r="E10" s="9">
        <v>0.0</v>
      </c>
      <c r="F10" s="9">
        <v>0.0</v>
      </c>
      <c r="G10" s="9">
        <v>2.863371</v>
      </c>
    </row>
    <row r="11">
      <c r="A11" s="6" t="s">
        <v>29</v>
      </c>
      <c r="B11" s="6" t="s">
        <v>19</v>
      </c>
      <c r="C11" s="6" t="s">
        <v>27</v>
      </c>
      <c r="D11" s="6" t="s">
        <v>33</v>
      </c>
      <c r="E11" s="9">
        <v>0.0</v>
      </c>
      <c r="F11" s="9">
        <v>0.0</v>
      </c>
      <c r="G11" s="9">
        <v>1.195758</v>
      </c>
    </row>
    <row r="12">
      <c r="A12" s="6" t="s">
        <v>32</v>
      </c>
      <c r="B12" s="6" t="s">
        <v>24</v>
      </c>
      <c r="C12" s="6" t="s">
        <v>27</v>
      </c>
      <c r="D12" s="6" t="s">
        <v>33</v>
      </c>
      <c r="E12" s="9">
        <v>0.0</v>
      </c>
      <c r="F12" s="9">
        <v>0.0</v>
      </c>
      <c r="G12" s="9">
        <v>0.375938</v>
      </c>
    </row>
    <row r="13">
      <c r="A13" s="6" t="s">
        <v>35</v>
      </c>
      <c r="B13" s="6" t="s">
        <v>19</v>
      </c>
      <c r="C13" s="6" t="s">
        <v>27</v>
      </c>
      <c r="D13" s="6" t="s">
        <v>33</v>
      </c>
      <c r="E13" s="9">
        <v>1.0</v>
      </c>
      <c r="F13" s="9">
        <v>1.0</v>
      </c>
      <c r="G13" s="9">
        <v>2.121106</v>
      </c>
    </row>
    <row r="14">
      <c r="A14" s="6" t="s">
        <v>34</v>
      </c>
      <c r="B14" s="6" t="s">
        <v>24</v>
      </c>
      <c r="C14" s="6" t="s">
        <v>27</v>
      </c>
      <c r="D14" s="6" t="s">
        <v>33</v>
      </c>
      <c r="E14" s="9">
        <v>1.0</v>
      </c>
      <c r="F14" s="9">
        <v>1.0</v>
      </c>
      <c r="G14" s="9">
        <v>0.763443</v>
      </c>
    </row>
    <row r="15">
      <c r="A15" s="6" t="s">
        <v>39</v>
      </c>
      <c r="B15" s="6" t="s">
        <v>19</v>
      </c>
      <c r="C15" s="6" t="s">
        <v>20</v>
      </c>
      <c r="D15" s="6" t="s">
        <v>37</v>
      </c>
      <c r="E15" s="9">
        <v>1.0</v>
      </c>
      <c r="F15" s="9">
        <v>1.0</v>
      </c>
      <c r="G15" s="9">
        <v>1.947797</v>
      </c>
    </row>
    <row r="16">
      <c r="A16" s="6" t="s">
        <v>36</v>
      </c>
      <c r="B16" s="6" t="s">
        <v>24</v>
      </c>
      <c r="C16" s="6" t="s">
        <v>20</v>
      </c>
      <c r="D16" s="6" t="s">
        <v>37</v>
      </c>
      <c r="E16" s="9">
        <v>1.0</v>
      </c>
      <c r="F16" s="9">
        <v>1.0</v>
      </c>
      <c r="G16" s="9">
        <v>0.67211</v>
      </c>
    </row>
    <row r="17">
      <c r="A17" s="6" t="s">
        <v>38</v>
      </c>
      <c r="B17" s="6" t="s">
        <v>24</v>
      </c>
      <c r="C17" s="6" t="s">
        <v>20</v>
      </c>
      <c r="D17" s="6" t="s">
        <v>37</v>
      </c>
      <c r="E17" s="9">
        <v>0.0</v>
      </c>
      <c r="F17" s="9">
        <v>0.0</v>
      </c>
      <c r="G17" s="9">
        <v>0.578245</v>
      </c>
    </row>
    <row r="18">
      <c r="A18" s="6" t="s">
        <v>40</v>
      </c>
      <c r="B18" s="6" t="s">
        <v>19</v>
      </c>
      <c r="C18" s="6" t="s">
        <v>20</v>
      </c>
      <c r="D18" s="6" t="s">
        <v>37</v>
      </c>
      <c r="E18" s="9">
        <v>0.0</v>
      </c>
      <c r="F18" s="9">
        <v>0.0</v>
      </c>
      <c r="G18" s="9">
        <v>2.942005</v>
      </c>
    </row>
    <row r="19">
      <c r="A19" s="8"/>
      <c r="B19" s="8"/>
      <c r="C19" s="8"/>
      <c r="D19" s="8"/>
      <c r="I19" s="2" t="s">
        <v>41</v>
      </c>
      <c r="J19" s="5">
        <f>16/16</f>
        <v>1</v>
      </c>
    </row>
    <row r="20">
      <c r="A20" s="8"/>
      <c r="B20" s="8"/>
      <c r="C20" s="8"/>
      <c r="D20" s="8"/>
    </row>
  </sheetData>
  <drawing r:id="rId1"/>
</worksheet>
</file>